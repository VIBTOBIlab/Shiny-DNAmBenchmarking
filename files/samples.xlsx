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gentbe-my.sharepoint.com/personal/edoardo_giuili_ugent_be/Documents/Projects/002_Benchmarking_Deconv_Tools/"/>
    </mc:Choice>
  </mc:AlternateContent>
  <xr:revisionPtr revIDLastSave="917" documentId="13_ncr:1_{A89FB9E6-E7D5-BB4E-A529-E716DDDDAAEF}" xr6:coauthVersionLast="47" xr6:coauthVersionMax="47" xr10:uidLastSave="{1C965D9A-235C-E541-9533-7709DF7E60FC}"/>
  <bookViews>
    <workbookView xWindow="0" yWindow="680" windowWidth="28800" windowHeight="16440" activeTab="2" xr2:uid="{52895E06-2A48-3E45-937E-237B6C94B0F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L3" i="3"/>
  <c r="N3" i="3" s="1"/>
  <c r="L4" i="3"/>
  <c r="N4" i="3" s="1"/>
  <c r="L5" i="3"/>
  <c r="N5" i="3" s="1"/>
  <c r="L6" i="3"/>
  <c r="N6" i="3" s="1"/>
  <c r="L7" i="3"/>
  <c r="N7" i="3" s="1"/>
  <c r="L2" i="3"/>
  <c r="N2" i="3" s="1"/>
  <c r="D3" i="3"/>
  <c r="G3" i="3" s="1"/>
  <c r="D4" i="3"/>
  <c r="G4" i="3" s="1"/>
  <c r="D5" i="3"/>
  <c r="F5" i="3" s="1"/>
  <c r="D6" i="3"/>
  <c r="G6" i="3" s="1"/>
  <c r="D7" i="3"/>
  <c r="G7" i="3" s="1"/>
  <c r="D8" i="3"/>
  <c r="G8" i="3" s="1"/>
  <c r="D54" i="3"/>
  <c r="G54" i="3" s="1"/>
  <c r="D53" i="3"/>
  <c r="G53" i="3" s="1"/>
  <c r="D52" i="3"/>
  <c r="F52" i="3" s="1"/>
  <c r="D51" i="3"/>
  <c r="F51" i="3" s="1"/>
  <c r="D50" i="3"/>
  <c r="G50" i="3" s="1"/>
  <c r="D49" i="3"/>
  <c r="G49" i="3" s="1"/>
  <c r="D48" i="3"/>
  <c r="G48" i="3" s="1"/>
  <c r="D47" i="3"/>
  <c r="G47" i="3" s="1"/>
  <c r="D46" i="3"/>
  <c r="F46" i="3" s="1"/>
  <c r="D45" i="3"/>
  <c r="G45" i="3" s="1"/>
  <c r="D44" i="3"/>
  <c r="G44" i="3" s="1"/>
  <c r="D43" i="3"/>
  <c r="G43" i="3" s="1"/>
  <c r="D42" i="3"/>
  <c r="G42" i="3" s="1"/>
  <c r="D41" i="3"/>
  <c r="G41" i="3" s="1"/>
  <c r="D40" i="3"/>
  <c r="G40" i="3" s="1"/>
  <c r="D39" i="3"/>
  <c r="G39" i="3" s="1"/>
  <c r="D38" i="3"/>
  <c r="G38" i="3" s="1"/>
  <c r="D37" i="3"/>
  <c r="F37" i="3" s="1"/>
  <c r="D36" i="3"/>
  <c r="F36" i="3" s="1"/>
  <c r="D35" i="3"/>
  <c r="G35" i="3" s="1"/>
  <c r="D34" i="3"/>
  <c r="G34" i="3" s="1"/>
  <c r="D33" i="3"/>
  <c r="G33" i="3" s="1"/>
  <c r="D32" i="3"/>
  <c r="G32" i="3" s="1"/>
  <c r="D31" i="3"/>
  <c r="G31" i="3" s="1"/>
  <c r="D30" i="3"/>
  <c r="G30" i="3" s="1"/>
  <c r="D29" i="3"/>
  <c r="G29" i="3" s="1"/>
  <c r="D28" i="3"/>
  <c r="G28" i="3" s="1"/>
  <c r="D27" i="3"/>
  <c r="F27" i="3" s="1"/>
  <c r="D26" i="3"/>
  <c r="G26" i="3" s="1"/>
  <c r="D25" i="3"/>
  <c r="G25" i="3" s="1"/>
  <c r="D24" i="3"/>
  <c r="G24" i="3" s="1"/>
  <c r="D23" i="3"/>
  <c r="G23" i="3" s="1"/>
  <c r="D22" i="3"/>
  <c r="G22" i="3" s="1"/>
  <c r="D21" i="3"/>
  <c r="G21" i="3" s="1"/>
  <c r="D20" i="3"/>
  <c r="G20" i="3" s="1"/>
  <c r="D19" i="3"/>
  <c r="G19" i="3" s="1"/>
  <c r="D18" i="3"/>
  <c r="G18" i="3" s="1"/>
  <c r="D17" i="3"/>
  <c r="G17" i="3" s="1"/>
  <c r="D16" i="3"/>
  <c r="G16" i="3" s="1"/>
  <c r="D15" i="3"/>
  <c r="G15" i="3" s="1"/>
  <c r="D14" i="3"/>
  <c r="G14" i="3" s="1"/>
  <c r="D13" i="3"/>
  <c r="G13" i="3" s="1"/>
  <c r="D12" i="3"/>
  <c r="F12" i="3" s="1"/>
  <c r="D11" i="3"/>
  <c r="G11" i="3" s="1"/>
  <c r="D10" i="3"/>
  <c r="G10" i="3" s="1"/>
  <c r="D9" i="3"/>
  <c r="F9" i="3" s="1"/>
  <c r="D2" i="3"/>
  <c r="G2" i="3" s="1"/>
  <c r="K4" i="1"/>
  <c r="L4" i="1"/>
  <c r="K5" i="1"/>
  <c r="L5" i="1"/>
  <c r="K6" i="1"/>
  <c r="L6" i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L3" i="1"/>
  <c r="M11" i="3" l="1"/>
  <c r="F8" i="3"/>
  <c r="F7" i="3"/>
  <c r="F4" i="3"/>
  <c r="F3" i="3"/>
  <c r="G5" i="3"/>
  <c r="F6" i="3"/>
  <c r="F42" i="3"/>
  <c r="G27" i="3"/>
  <c r="F22" i="3"/>
  <c r="G37" i="3"/>
  <c r="G52" i="3"/>
  <c r="G12" i="3"/>
  <c r="G36" i="3"/>
  <c r="F17" i="3"/>
  <c r="G9" i="3"/>
  <c r="G51" i="3"/>
  <c r="F32" i="3"/>
  <c r="F47" i="3"/>
  <c r="G46" i="3"/>
  <c r="F2" i="3"/>
  <c r="F50" i="3"/>
  <c r="F54" i="3"/>
  <c r="F53" i="3"/>
  <c r="F49" i="3"/>
  <c r="F45" i="3"/>
  <c r="F48" i="3"/>
  <c r="F40" i="3"/>
  <c r="F43" i="3"/>
  <c r="F41" i="3"/>
  <c r="F44" i="3"/>
  <c r="F35" i="3"/>
  <c r="F39" i="3"/>
  <c r="F38" i="3"/>
  <c r="F30" i="3"/>
  <c r="F31" i="3"/>
  <c r="F34" i="3"/>
  <c r="F33" i="3"/>
  <c r="F28" i="3"/>
  <c r="F26" i="3"/>
  <c r="F29" i="3"/>
  <c r="F25" i="3"/>
  <c r="F20" i="3"/>
  <c r="F23" i="3"/>
  <c r="F21" i="3"/>
  <c r="F24" i="3"/>
  <c r="F15" i="3"/>
  <c r="F16" i="3"/>
  <c r="F19" i="3"/>
  <c r="F18" i="3"/>
  <c r="F14" i="3"/>
  <c r="F10" i="3"/>
  <c r="F13" i="3"/>
  <c r="F11" i="3"/>
</calcChain>
</file>

<file path=xl/sharedStrings.xml><?xml version="1.0" encoding="utf-8"?>
<sst xmlns="http://schemas.openxmlformats.org/spreadsheetml/2006/main" count="404" uniqueCount="197">
  <si>
    <t>tissue</t>
  </si>
  <si>
    <t>tumor</t>
  </si>
  <si>
    <t>stage</t>
  </si>
  <si>
    <t>aliquot.submitter_id</t>
  </si>
  <si>
    <t>filename</t>
  </si>
  <si>
    <t>samplename</t>
  </si>
  <si>
    <t>TCGA-BRCA-A07I-TP-11D-A19F-05_7d66420c-f588-48ec-9a02-ac87c00b1276D.bam</t>
  </si>
  <si>
    <t>Breast</t>
  </si>
  <si>
    <t>Breast Invasive Carcinoma</t>
  </si>
  <si>
    <t>TCGA-A7-A0CE-01A-11D-A148-05</t>
  </si>
  <si>
    <t>type</t>
  </si>
  <si>
    <t>Primary Tumor</t>
  </si>
  <si>
    <t>StageIIIA</t>
  </si>
  <si>
    <t>StageIIA</t>
  </si>
  <si>
    <t>TCGA-A7-A0CE-01A-11D-A148-05_4ff7626b-4c2f-40fd-9df1-10c1a488402a_Breast_tumor.realign.mdups.recal.bam</t>
  </si>
  <si>
    <t>TCGA-BRCA-A0YG-TP-21D-A19F-05_e532ff25-a7f5-4076-9ac7-2d608ffa960fD.bam</t>
  </si>
  <si>
    <t>TCGA-A2-A0YG-01A-21D-A19F-05</t>
  </si>
  <si>
    <t>StageIIIC</t>
  </si>
  <si>
    <t>ResultCount_MERGING_1_NIC1254A18.hg19_rCRSchrm.fa.realign.mdups.recal.bam</t>
  </si>
  <si>
    <t>TCGA-E2-A15H-01A-11D-A19F-05</t>
  </si>
  <si>
    <t>ResultCount_MERGING_1_NIC1254A16.hg19_rCRSchrm.fa.realign.mdups.recal.bam</t>
  </si>
  <si>
    <t>TCGA-A8-A07I-01A-11D-A19F-05</t>
  </si>
  <si>
    <t>TCGA-A7-A0CE-01A-11D-A148-05_4ff7626b-4c2f-40fd-9df1-10c1a488402a_Breast_tumor.bam</t>
  </si>
  <si>
    <t>ResultCount_MERGING_1_NIC1254A17.hg19_rCRSchrm.fa.realign.mdups.recal.bam</t>
  </si>
  <si>
    <t>ResultCount_MERGING_1_NIC1254A15.hg19_rCRSchrm.fa.realign.mdups.recal.bam</t>
  </si>
  <si>
    <t>TCGA-A2-A04X-01A-21D-A19F-05</t>
  </si>
  <si>
    <t>TCGA-BRCA-A04X-TP-21D-A19F-05_5c0eabc4-fb55-463e-ae0f-a25ae18cc78aD.bam</t>
  </si>
  <si>
    <t>ResultCount_MERGING_1_NIC1254A91.hg19_rCRSchrm.fa.realign.mdups.recal.bam</t>
  </si>
  <si>
    <t>Bladder Urothelial Carcinoma</t>
  </si>
  <si>
    <t>Bladder</t>
  </si>
  <si>
    <t>StageIV</t>
  </si>
  <si>
    <t>TCGA-BT-A20V-01A-11D-A23D-05</t>
  </si>
  <si>
    <t>ResultCount_MERGING_1_NIC1254A93.hg19_rCRSchrm.fa.realign.mdups.recal.bam</t>
  </si>
  <si>
    <t>TCGA-BT-A2LA-01A-11D-A23D-05</t>
  </si>
  <si>
    <t>StageIII</t>
  </si>
  <si>
    <t>ResultCount_MERGING_1_NIC1254A94.hg19_rCRSchrm.fa.realign.mdups.recal.bam</t>
  </si>
  <si>
    <t>TCGA-DK-A1AG-01A-11D-A23D-05</t>
  </si>
  <si>
    <t>ResultCount_MERGING_1_NIC1254A96.hg19_rCRSchrm.fa.realign.mdups.recal.bam</t>
  </si>
  <si>
    <t>TCGA-DK-A1AA-01A-11D-A23D-05</t>
  </si>
  <si>
    <t>ResultCount_MERGING_1_NIC1254A89.hg19_rCRSchrm.fa.realign.mdups.recal.bam</t>
  </si>
  <si>
    <t>TCGA-BL-A13J-01A-11D-A23D-05</t>
  </si>
  <si>
    <t>ResultCount_MERGING_1_NIC1254A92.hg19_rCRSchrm.fa.realign.mdups.recal.bam</t>
  </si>
  <si>
    <t>TCGA-H4-A2HQ-01A-11D-A23D-05</t>
  </si>
  <si>
    <t>COAD1</t>
  </si>
  <si>
    <t>ResultCount_MERGING_1_NIC1254A45.hg19_rCRSchrm.fa.realign.mdups.recal.bam</t>
  </si>
  <si>
    <t>Colon Adenocarcinoma</t>
  </si>
  <si>
    <t>Colon</t>
  </si>
  <si>
    <t>StageI</t>
  </si>
  <si>
    <t>TCGA-AA-A00R-01A-01D-A22T-05</t>
  </si>
  <si>
    <t>TCGA-AA-3518-01A-02D-1518-05</t>
  </si>
  <si>
    <t>TCGA-AA-3518-01A-02D.mdups.bam</t>
  </si>
  <si>
    <t>TCGA-AA-3518-01A-02D-1518-05_b9591620-97e7-4355-b18c-36fa74851106_Colon_tumor.bam</t>
  </si>
  <si>
    <t>COAD2.1</t>
  </si>
  <si>
    <t>COAD2.2</t>
  </si>
  <si>
    <t>GBM1</t>
  </si>
  <si>
    <t>GBM2</t>
  </si>
  <si>
    <t>GBM3</t>
  </si>
  <si>
    <t>GBM4</t>
  </si>
  <si>
    <t>GBM5</t>
  </si>
  <si>
    <t>GBM6</t>
  </si>
  <si>
    <t>TCGA-06-0128-01A-01D-2294-05</t>
  </si>
  <si>
    <t>Glioblastoma Multiforme</t>
  </si>
  <si>
    <t>Brain</t>
  </si>
  <si>
    <t>ResultCount_MERGING_1_NIC1254A46.hg19_rCRSchrm.fa.realign.mdups.recal.bam</t>
  </si>
  <si>
    <t>not_reported</t>
  </si>
  <si>
    <t>TCGA-14-1454-01A-01D-2294-05</t>
  </si>
  <si>
    <t>ResultCount_MERGING_1_NIC1254A47.hg19_rCRSchrm.fa.realign.mdups.recal.bam</t>
  </si>
  <si>
    <t>TCGA-19-1788-01A-01D-2294-05</t>
  </si>
  <si>
    <t>ResultCount_MERGING_1_NIC1254A54.hg19_rCRSchrm.fa.realign.mdups.recal.bam</t>
  </si>
  <si>
    <t>TCGA-14-1401-01A-01D-2294-05</t>
  </si>
  <si>
    <t>ResultCount_MERGING_1_NIC1254A52.hg19_rCRSchrm.fa.realign.mdups.recal.bam</t>
  </si>
  <si>
    <t>TCGA-14-3477-01A-01D-2294-05</t>
  </si>
  <si>
    <t>ResultCount_MERGING_1_NIC1254A48.hg19_rCRSchrm.fa.realign.mdups.recal.bam</t>
  </si>
  <si>
    <t>ResultCount_MERGING_1_NIC1254A53.hg19_rCRSchrm.fa.realign.mdups.recal.bam</t>
  </si>
  <si>
    <t>TCGA-16-1460-01A-01D-2294-05</t>
  </si>
  <si>
    <t>Bronchus and lung</t>
  </si>
  <si>
    <t>Lung Adenocarcinoma</t>
  </si>
  <si>
    <t>ResultCount_MERGING_1_NIC1254A73.hg19_rCRSchrm.fa.realign.mdups.recal.bam</t>
  </si>
  <si>
    <t>TCGA-91-6840-01A-11D-2365-05</t>
  </si>
  <si>
    <t>StageIA</t>
  </si>
  <si>
    <t>TCGA-78-7156-01A-11D-2365-05</t>
  </si>
  <si>
    <t>ResultCount_MERGING_1_NIC1254A72.hg19_rCRSchrm.fa.realign.mdups.recal.bam</t>
  </si>
  <si>
    <t>TCGA-38-4630-01A-01D-2365-05</t>
  </si>
  <si>
    <t>StageIB</t>
  </si>
  <si>
    <t>ResultCount_MERGING_1_NIC1254A68.hg19_rCRSchrm.fa.realign.mdups.recal.bam</t>
  </si>
  <si>
    <t>TCGA-44-6148-01A-11D-2365-05</t>
  </si>
  <si>
    <t>ResultCount_MERGING_1_NIC1254A69.hg19_rCRSchrm.fa.realign.mdups.recal.bam</t>
  </si>
  <si>
    <t>TCGA-67-6215-01A-11D-2365-05</t>
  </si>
  <si>
    <t>ResultCount_MERGING_1_NIC1254A71.hg19_rCRSchrm.fa.realign.mdups.recal.bam</t>
  </si>
  <si>
    <t>TCGA-34-2600-01A-01D-1871-05</t>
  </si>
  <si>
    <t>Lung Squamous Cell Carcinoma</t>
  </si>
  <si>
    <t>ResultCount_MERGING_1_NIC1254A13.hg19_rCRSchrm.fa.realign.mdups.recal.bam</t>
  </si>
  <si>
    <t>TCGA-60-2722-01A-01D-1871-05</t>
  </si>
  <si>
    <t>StageIIB</t>
  </si>
  <si>
    <t>TCGA-60-2722-01A-01D-1871-05_720f6804-059c-4516-a77d-74e8a01c739b_Lung_tumor.bam</t>
  </si>
  <si>
    <t>TCGA-60-2722-01A-01D-1871-05_720f6804-059c-4516-a77d-74e8a01c739b_Lung_tumor.realign.mdups.recal.bam</t>
  </si>
  <si>
    <t>LUSC2.1</t>
  </si>
  <si>
    <t>TCGA-60-2695-01A-01D-1871-05</t>
  </si>
  <si>
    <t>TCGA-60-2695-01A-01D-1871-05_7bbb35ee-0136-46b6-bfae-3c5c2b7566df.bam</t>
  </si>
  <si>
    <t>TCGA-34-2600-01A-01D-1871-05_66724ea6-0764-4a31-a53e-be76b88f8614.bam</t>
  </si>
  <si>
    <t>ResultCount_MERGING_1_NIC1254A14.hg19_rCRSchrm.fa.realign.mdups.recal.bam</t>
  </si>
  <si>
    <t>TCGA-21-1078-01A-01D-2365-05</t>
  </si>
  <si>
    <t>ResultCount_MERGING_1_NIC1254A67.hg19_rCRSchrm.fa.realign.mdups.recal.bam</t>
  </si>
  <si>
    <t>UCEC1</t>
  </si>
  <si>
    <t>UCEC2</t>
  </si>
  <si>
    <t>UCEC3</t>
  </si>
  <si>
    <t>UCEC4</t>
  </si>
  <si>
    <t>UCEC5</t>
  </si>
  <si>
    <t>Uterine Corpus Endometrial Carcinoma</t>
  </si>
  <si>
    <t>Corpus uteri</t>
  </si>
  <si>
    <t>ResultCount_MERGING_1_NIC1254A111.hg19_rCRSchrm.fa.realign.mdups.recal.bam</t>
  </si>
  <si>
    <t>ResultCount_MERGING_1_NIC1254A109.hg19_rCRSchrm.fa.realign.mdups.recal.bam</t>
  </si>
  <si>
    <t>TCGA-B5-A0K6-01A-11D-A23D-05</t>
  </si>
  <si>
    <t>TCGA-AX-A1CK-01A-11D-A23D-05</t>
  </si>
  <si>
    <t>TCGA-AX-A1CI-01A-11D-A17H-05</t>
  </si>
  <si>
    <t>TCGA-AX-A1CI-01A-11D-A17H-05_e31eb5a4-d191-4bc2-bb4d-cbd3f23bc7db_Endo_tumor.bam</t>
  </si>
  <si>
    <t>TCGA-A5-A0G2-01A-11D-A23D-05</t>
  </si>
  <si>
    <t>ResultCount_MERGING_1_NIC1254A113.hg19_rCRSchrm.fa.realign.mdups.recal.bam</t>
  </si>
  <si>
    <t>ResultCount_MERGING_1_NIC1254A112.hg19_rCRSchrm.fa.realign.mdups.recal.bam</t>
  </si>
  <si>
    <t>TCGA-AP-A05J-01A-11D-A23D-05</t>
  </si>
  <si>
    <t>StageIIIB</t>
  </si>
  <si>
    <t>StageII</t>
  </si>
  <si>
    <t>LUSC3.1</t>
  </si>
  <si>
    <t>BRCA1.1</t>
  </si>
  <si>
    <t>BRCA2.1</t>
  </si>
  <si>
    <t>num_reads</t>
  </si>
  <si>
    <t>BRCA1.3</t>
  </si>
  <si>
    <t>BRCA5.2</t>
  </si>
  <si>
    <t>BLCA_1</t>
  </si>
  <si>
    <t>BLCA_2</t>
  </si>
  <si>
    <t>BLCA_3</t>
  </si>
  <si>
    <t>BLCA_4</t>
  </si>
  <si>
    <t>BLCA_5</t>
  </si>
  <si>
    <t>BLCA_6</t>
  </si>
  <si>
    <t>insert_size(bp)</t>
  </si>
  <si>
    <t>coverage(insert)</t>
  </si>
  <si>
    <t>coverage(read)</t>
  </si>
  <si>
    <t>avg_read_length</t>
  </si>
  <si>
    <t>Healthy</t>
  </si>
  <si>
    <t>SRR13404371</t>
  </si>
  <si>
    <t>SRR13404372</t>
  </si>
  <si>
    <t>SRR13404373</t>
  </si>
  <si>
    <t>SRR13404374</t>
  </si>
  <si>
    <t>cfDNA</t>
  </si>
  <si>
    <t>SRR13404383</t>
  </si>
  <si>
    <t>SRR13404384</t>
  </si>
  <si>
    <t>SRR13404385</t>
  </si>
  <si>
    <t>SRR13404386</t>
  </si>
  <si>
    <t>SRR13404387</t>
  </si>
  <si>
    <t>SRR13404388</t>
  </si>
  <si>
    <t>SRR13404389</t>
  </si>
  <si>
    <t>SRR13404390</t>
  </si>
  <si>
    <t>Healthy cfDNA (WGBS)</t>
  </si>
  <si>
    <t>Tumor samples - TCGA (WGBS)</t>
  </si>
  <si>
    <t>SRR13404371_1_val_1_bismark_bt2_pe.deduplicated.bam</t>
  </si>
  <si>
    <t>SRR13404372_1_val_1_bismark_bt2_pe.deduplicated.bam</t>
  </si>
  <si>
    <t>SRR13404373_1_val_1_bismark_bt2_pe.deduplicated.bam</t>
  </si>
  <si>
    <t>SRR13404374_1_val_1_bismark_bt2_pe.deduplicated.bam</t>
  </si>
  <si>
    <t>SRR13404383_1_val_1_bismark_bt2_pe.deduplicated.bam</t>
  </si>
  <si>
    <t>SRR13404384_1_val_1_bismark_bt2_pe.deduplicated.bam</t>
  </si>
  <si>
    <t>SRR13404385_1_val_1_bismark_bt2_pe.deduplicated.bam</t>
  </si>
  <si>
    <t>SRR13404386_1_val_1_bismark_bt2_pe.deduplicated.bam</t>
  </si>
  <si>
    <t>SRR13404387_1_val_1_bismark_bt2_pe.deduplicated.bam</t>
  </si>
  <si>
    <t>SRR13404388_1_val_1_bismark_bt2_pe.deduplicated.bam</t>
  </si>
  <si>
    <t>SRR13404389_1_val_1_bismark_bt2_pe.deduplicated.bam</t>
  </si>
  <si>
    <t>SRR13404390_1_val_1_bismark_bt2_pe.deduplicated.bam</t>
  </si>
  <si>
    <t>LUAD_1</t>
  </si>
  <si>
    <t>BRCA_1.2</t>
  </si>
  <si>
    <t>BRCA_2.2</t>
  </si>
  <si>
    <t>BRCA_3</t>
  </si>
  <si>
    <t>BRCA_4</t>
  </si>
  <si>
    <t>BRCA_5.1</t>
  </si>
  <si>
    <t>LUAD_2</t>
  </si>
  <si>
    <t>LUAD_3</t>
  </si>
  <si>
    <t>LUAD_4</t>
  </si>
  <si>
    <t>LUAD_5</t>
  </si>
  <si>
    <t>LUSC_1</t>
  </si>
  <si>
    <t>LUSC_2.2</t>
  </si>
  <si>
    <t>LUSC_3.2</t>
  </si>
  <si>
    <t>LUSC_4</t>
  </si>
  <si>
    <t>LUSC_5</t>
  </si>
  <si>
    <t>genome</t>
  </si>
  <si>
    <t>coverage</t>
  </si>
  <si>
    <t>read_length</t>
  </si>
  <si>
    <t>#tot_reads</t>
  </si>
  <si>
    <t>tumor_fraction</t>
  </si>
  <si>
    <t>tumor_reads</t>
  </si>
  <si>
    <t>healthy_reads</t>
  </si>
  <si>
    <t>bulk</t>
  </si>
  <si>
    <t>reference</t>
  </si>
  <si>
    <t>dataset</t>
  </si>
  <si>
    <t>num_aligned_dedupl_reads</t>
  </si>
  <si>
    <t>num_replicates</t>
  </si>
  <si>
    <t>tot_samples</t>
  </si>
  <si>
    <t>number_different_tumor_fractions</t>
  </si>
  <si>
    <t>tot_space_TB</t>
  </si>
  <si>
    <t>space_per_sample_GB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</si>
</sst>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6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1" fontId="0" fillId="0" borderId="0" xfId="0" applyNumberFormat="1"/>
    <xf numFmtId="0" fontId="3" fillId="0" borderId="0" xfId="0" applyFont="1"/>
    <xf numFmtId="0" fontId="4" fillId="0" borderId="0" xfId="0" applyFont="1"/>
    <xf numFmtId="1" fontId="4" fillId="0" borderId="0" xfId="0" applyNumberFormat="1" applyFont="1"/>
    <xf numFmtId="43" fontId="0" fillId="0" borderId="0" xfId="1" applyFont="1"/>
    <xf numFmtId="0" fontId="0" fillId="0" borderId="0" xfId="0" applyAlignment="1">
      <alignment horizontal="center" vertical="center"/>
    </xf>
    <xf numFmtId="0" fontId="4" fillId="2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D2A3A-4285-4642-9815-569095F66807}">
  <dimension ref="A1:N37"/>
  <sheetViews>
    <sheetView zoomScale="125" workbookViewId="0">
      <selection activeCell="H9" sqref="H9"/>
    </sheetView>
  </sheetViews>
  <sheetFormatPr baseColWidth="10" defaultRowHeight="16" x14ac:dyDescent="0.2"/>
  <cols>
    <col min="1" max="1" width="13.1640625" customWidth="1"/>
    <col min="2" max="2" width="96.5" customWidth="1"/>
    <col min="3" max="3" width="18.5" customWidth="1"/>
    <col min="4" max="4" width="26.33203125" customWidth="1"/>
    <col min="5" max="5" width="15.33203125" customWidth="1"/>
    <col min="6" max="6" width="30.6640625" customWidth="1"/>
    <col min="7" max="7" width="14.6640625" customWidth="1"/>
    <col min="8" max="8" width="15.1640625" customWidth="1"/>
    <col min="9" max="9" width="14.33203125" customWidth="1"/>
    <col min="10" max="10" width="15.5" customWidth="1"/>
    <col min="11" max="11" width="15.1640625" customWidth="1"/>
    <col min="12" max="12" width="12.5" customWidth="1"/>
    <col min="14" max="14" width="11.6640625" bestFit="1" customWidth="1"/>
  </cols>
  <sheetData>
    <row r="1" spans="1:14" x14ac:dyDescent="0.2">
      <c r="A1" s="8" t="s">
        <v>153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N1" t="s">
        <v>181</v>
      </c>
    </row>
    <row r="2" spans="1:14" x14ac:dyDescent="0.2">
      <c r="A2" s="4" t="s">
        <v>5</v>
      </c>
      <c r="B2" s="4" t="s">
        <v>4</v>
      </c>
      <c r="C2" s="4" t="s">
        <v>0</v>
      </c>
      <c r="D2" s="4" t="s">
        <v>1</v>
      </c>
      <c r="E2" s="4" t="s">
        <v>2</v>
      </c>
      <c r="F2" s="4" t="s">
        <v>3</v>
      </c>
      <c r="G2" s="4" t="s">
        <v>10</v>
      </c>
      <c r="H2" s="4" t="s">
        <v>125</v>
      </c>
      <c r="I2" s="4" t="s">
        <v>134</v>
      </c>
      <c r="J2" s="4" t="s">
        <v>137</v>
      </c>
      <c r="K2" s="4" t="s">
        <v>135</v>
      </c>
      <c r="L2" s="4" t="s">
        <v>136</v>
      </c>
      <c r="N2">
        <v>3100000000</v>
      </c>
    </row>
    <row r="3" spans="1:14" x14ac:dyDescent="0.2">
      <c r="A3" s="4" t="s">
        <v>128</v>
      </c>
      <c r="B3" s="4" t="s">
        <v>27</v>
      </c>
      <c r="C3" s="4" t="s">
        <v>29</v>
      </c>
      <c r="D3" s="4" t="s">
        <v>28</v>
      </c>
      <c r="E3" s="4" t="s">
        <v>30</v>
      </c>
      <c r="F3" s="4" t="s">
        <v>31</v>
      </c>
      <c r="G3" s="4" t="s">
        <v>11</v>
      </c>
      <c r="H3" s="4">
        <v>763185590</v>
      </c>
      <c r="I3" s="5">
        <v>82.289599999999993</v>
      </c>
      <c r="J3" s="4">
        <v>73</v>
      </c>
      <c r="K3" s="5">
        <f>$H3*I3/$N$2</f>
        <v>20.258786105439999</v>
      </c>
      <c r="L3" s="5">
        <f>$H3*J3/$N$2</f>
        <v>17.971789699999999</v>
      </c>
      <c r="M3" t="s">
        <v>188</v>
      </c>
    </row>
    <row r="4" spans="1:14" x14ac:dyDescent="0.2">
      <c r="A4" s="4" t="s">
        <v>129</v>
      </c>
      <c r="B4" s="4" t="s">
        <v>32</v>
      </c>
      <c r="C4" s="4" t="s">
        <v>29</v>
      </c>
      <c r="D4" s="4" t="s">
        <v>28</v>
      </c>
      <c r="E4" s="4" t="s">
        <v>34</v>
      </c>
      <c r="F4" s="4" t="s">
        <v>33</v>
      </c>
      <c r="G4" s="4" t="s">
        <v>11</v>
      </c>
      <c r="H4" s="4">
        <v>642429078</v>
      </c>
      <c r="I4" s="5">
        <v>77.634500000000003</v>
      </c>
      <c r="J4" s="4">
        <v>72</v>
      </c>
      <c r="K4" s="5">
        <f t="shared" ref="K4:K23" si="0">$H4*I4/$N$2</f>
        <v>16.088600082577745</v>
      </c>
      <c r="L4" s="5">
        <f t="shared" ref="L4:L23" si="1">$H4*J4/$N$2</f>
        <v>14.920933424516129</v>
      </c>
      <c r="M4" t="s">
        <v>189</v>
      </c>
    </row>
    <row r="5" spans="1:14" x14ac:dyDescent="0.2">
      <c r="A5" s="4" t="s">
        <v>130</v>
      </c>
      <c r="B5" s="4" t="s">
        <v>35</v>
      </c>
      <c r="C5" s="4" t="s">
        <v>29</v>
      </c>
      <c r="D5" s="4" t="s">
        <v>28</v>
      </c>
      <c r="E5" s="4" t="s">
        <v>34</v>
      </c>
      <c r="F5" s="3" t="s">
        <v>36</v>
      </c>
      <c r="G5" s="4" t="s">
        <v>11</v>
      </c>
      <c r="H5" s="4">
        <v>750588996</v>
      </c>
      <c r="I5" s="4">
        <v>82</v>
      </c>
      <c r="J5" s="4">
        <v>73</v>
      </c>
      <c r="K5" s="5">
        <f t="shared" si="0"/>
        <v>19.854289571612902</v>
      </c>
      <c r="L5" s="5">
        <f t="shared" si="1"/>
        <v>17.675160228387096</v>
      </c>
      <c r="M5" t="s">
        <v>189</v>
      </c>
    </row>
    <row r="6" spans="1:14" x14ac:dyDescent="0.2">
      <c r="A6" s="4" t="s">
        <v>131</v>
      </c>
      <c r="B6" s="4" t="s">
        <v>37</v>
      </c>
      <c r="C6" s="4" t="s">
        <v>29</v>
      </c>
      <c r="D6" s="4" t="s">
        <v>28</v>
      </c>
      <c r="E6" s="4" t="s">
        <v>34</v>
      </c>
      <c r="F6" s="4" t="s">
        <v>38</v>
      </c>
      <c r="G6" s="4" t="s">
        <v>11</v>
      </c>
      <c r="H6" s="4">
        <v>766377337</v>
      </c>
      <c r="I6" s="4">
        <v>76</v>
      </c>
      <c r="J6" s="4">
        <v>72</v>
      </c>
      <c r="K6" s="5">
        <f t="shared" si="0"/>
        <v>18.788605681290324</v>
      </c>
      <c r="L6" s="5">
        <f t="shared" si="1"/>
        <v>17.799731698064516</v>
      </c>
      <c r="M6" t="s">
        <v>188</v>
      </c>
    </row>
    <row r="7" spans="1:14" x14ac:dyDescent="0.2">
      <c r="A7" s="4" t="s">
        <v>132</v>
      </c>
      <c r="B7" s="4" t="s">
        <v>39</v>
      </c>
      <c r="C7" s="4" t="s">
        <v>29</v>
      </c>
      <c r="D7" s="4" t="s">
        <v>28</v>
      </c>
      <c r="E7" s="4" t="s">
        <v>30</v>
      </c>
      <c r="F7" s="4" t="s">
        <v>40</v>
      </c>
      <c r="G7" s="4" t="s">
        <v>11</v>
      </c>
      <c r="H7" s="4">
        <v>748724504</v>
      </c>
      <c r="I7" s="4">
        <v>80</v>
      </c>
      <c r="J7" s="4">
        <v>73</v>
      </c>
      <c r="K7" s="5">
        <f t="shared" si="0"/>
        <v>19.321922683870969</v>
      </c>
      <c r="L7" s="5">
        <f t="shared" si="1"/>
        <v>17.631254449032259</v>
      </c>
      <c r="M7" t="s">
        <v>189</v>
      </c>
    </row>
    <row r="8" spans="1:14" x14ac:dyDescent="0.2">
      <c r="A8" s="4" t="s">
        <v>133</v>
      </c>
      <c r="B8" s="4" t="s">
        <v>41</v>
      </c>
      <c r="C8" s="4" t="s">
        <v>29</v>
      </c>
      <c r="D8" s="4" t="s">
        <v>28</v>
      </c>
      <c r="E8" s="4" t="s">
        <v>30</v>
      </c>
      <c r="F8" s="4" t="s">
        <v>42</v>
      </c>
      <c r="G8" s="4" t="s">
        <v>11</v>
      </c>
      <c r="H8" s="4">
        <v>695215768</v>
      </c>
      <c r="I8" s="4">
        <v>80</v>
      </c>
      <c r="J8" s="4">
        <v>73</v>
      </c>
      <c r="K8" s="5">
        <f t="shared" si="0"/>
        <v>17.941052077419354</v>
      </c>
      <c r="L8" s="5">
        <f t="shared" si="1"/>
        <v>16.371210020645162</v>
      </c>
      <c r="M8" t="s">
        <v>189</v>
      </c>
    </row>
    <row r="9" spans="1:14" x14ac:dyDescent="0.2">
      <c r="A9" s="4" t="s">
        <v>167</v>
      </c>
      <c r="B9" s="3" t="s">
        <v>14</v>
      </c>
      <c r="C9" s="4" t="s">
        <v>7</v>
      </c>
      <c r="D9" s="4" t="s">
        <v>8</v>
      </c>
      <c r="E9" s="4" t="s">
        <v>13</v>
      </c>
      <c r="F9" s="4" t="s">
        <v>9</v>
      </c>
      <c r="G9" s="4" t="s">
        <v>11</v>
      </c>
      <c r="H9" s="4">
        <v>900996741</v>
      </c>
      <c r="I9" s="4">
        <v>92</v>
      </c>
      <c r="J9" s="4">
        <v>73</v>
      </c>
      <c r="K9" s="5">
        <f t="shared" si="0"/>
        <v>26.739258119999999</v>
      </c>
      <c r="L9" s="5">
        <f t="shared" si="1"/>
        <v>21.21702003</v>
      </c>
      <c r="M9" t="s">
        <v>189</v>
      </c>
    </row>
    <row r="10" spans="1:14" x14ac:dyDescent="0.2">
      <c r="A10" s="4" t="s">
        <v>168</v>
      </c>
      <c r="B10" s="4" t="s">
        <v>23</v>
      </c>
      <c r="C10" s="4" t="s">
        <v>7</v>
      </c>
      <c r="D10" s="4" t="s">
        <v>8</v>
      </c>
      <c r="E10" s="4" t="s">
        <v>17</v>
      </c>
      <c r="F10" s="4" t="s">
        <v>16</v>
      </c>
      <c r="G10" s="4" t="s">
        <v>11</v>
      </c>
      <c r="H10" s="4">
        <v>1912920968</v>
      </c>
      <c r="I10" s="4">
        <v>104</v>
      </c>
      <c r="J10" s="4">
        <v>76</v>
      </c>
      <c r="K10" s="5">
        <f t="shared" si="0"/>
        <v>64.175413120000002</v>
      </c>
      <c r="L10" s="5">
        <f t="shared" si="1"/>
        <v>46.897417279999999</v>
      </c>
      <c r="M10" t="s">
        <v>189</v>
      </c>
    </row>
    <row r="11" spans="1:14" x14ac:dyDescent="0.2">
      <c r="A11" s="4" t="s">
        <v>169</v>
      </c>
      <c r="B11" s="4" t="s">
        <v>18</v>
      </c>
      <c r="C11" s="4" t="s">
        <v>7</v>
      </c>
      <c r="D11" s="4" t="s">
        <v>8</v>
      </c>
      <c r="E11" s="4" t="s">
        <v>13</v>
      </c>
      <c r="F11" s="4" t="s">
        <v>19</v>
      </c>
      <c r="G11" s="4" t="s">
        <v>11</v>
      </c>
      <c r="H11" s="4">
        <v>1931525934</v>
      </c>
      <c r="I11" s="4">
        <v>102</v>
      </c>
      <c r="J11" s="4">
        <v>76</v>
      </c>
      <c r="K11" s="5">
        <f t="shared" si="0"/>
        <v>63.553433957419358</v>
      </c>
      <c r="L11" s="5">
        <f t="shared" si="1"/>
        <v>47.353539027096772</v>
      </c>
      <c r="M11" t="s">
        <v>188</v>
      </c>
    </row>
    <row r="12" spans="1:14" x14ac:dyDescent="0.2">
      <c r="A12" s="4" t="s">
        <v>170</v>
      </c>
      <c r="B12" s="4" t="s">
        <v>20</v>
      </c>
      <c r="C12" s="4" t="s">
        <v>7</v>
      </c>
      <c r="D12" s="4" t="s">
        <v>8</v>
      </c>
      <c r="E12" s="4" t="s">
        <v>12</v>
      </c>
      <c r="F12" s="4" t="s">
        <v>21</v>
      </c>
      <c r="G12" s="4" t="s">
        <v>11</v>
      </c>
      <c r="H12" s="4">
        <v>2084786725</v>
      </c>
      <c r="I12" s="4">
        <v>94</v>
      </c>
      <c r="J12" s="4">
        <v>66</v>
      </c>
      <c r="K12" s="5">
        <f t="shared" si="0"/>
        <v>63.216113596774193</v>
      </c>
      <c r="L12" s="5">
        <f t="shared" si="1"/>
        <v>44.385781887096776</v>
      </c>
      <c r="M12" t="s">
        <v>189</v>
      </c>
    </row>
    <row r="13" spans="1:14" x14ac:dyDescent="0.2">
      <c r="A13" s="4" t="s">
        <v>171</v>
      </c>
      <c r="B13" s="4" t="s">
        <v>24</v>
      </c>
      <c r="C13" s="4" t="s">
        <v>7</v>
      </c>
      <c r="D13" s="4" t="s">
        <v>8</v>
      </c>
      <c r="E13" s="4" t="s">
        <v>13</v>
      </c>
      <c r="F13" s="4" t="s">
        <v>25</v>
      </c>
      <c r="G13" s="4" t="s">
        <v>11</v>
      </c>
      <c r="H13" s="4">
        <v>2046543200</v>
      </c>
      <c r="I13" s="4">
        <v>91</v>
      </c>
      <c r="J13" s="4">
        <v>73</v>
      </c>
      <c r="K13" s="5">
        <f t="shared" si="0"/>
        <v>60.075945548387097</v>
      </c>
      <c r="L13" s="5">
        <f t="shared" si="1"/>
        <v>48.19279148387097</v>
      </c>
      <c r="M13" t="s">
        <v>188</v>
      </c>
    </row>
    <row r="14" spans="1:14" x14ac:dyDescent="0.2">
      <c r="A14" s="4" t="s">
        <v>166</v>
      </c>
      <c r="B14" s="4" t="s">
        <v>77</v>
      </c>
      <c r="C14" s="4" t="s">
        <v>75</v>
      </c>
      <c r="D14" s="4" t="s">
        <v>76</v>
      </c>
      <c r="E14" s="4" t="s">
        <v>79</v>
      </c>
      <c r="F14" s="4" t="s">
        <v>78</v>
      </c>
      <c r="G14" s="4" t="s">
        <v>11</v>
      </c>
      <c r="H14" s="4">
        <v>718334188</v>
      </c>
      <c r="I14" s="4">
        <v>80</v>
      </c>
      <c r="J14" s="4">
        <v>73</v>
      </c>
      <c r="K14" s="5">
        <f t="shared" si="0"/>
        <v>18.537656464516129</v>
      </c>
      <c r="L14" s="5">
        <f t="shared" si="1"/>
        <v>16.915611523870968</v>
      </c>
      <c r="M14" t="s">
        <v>188</v>
      </c>
    </row>
    <row r="15" spans="1:14" x14ac:dyDescent="0.2">
      <c r="A15" s="4" t="s">
        <v>172</v>
      </c>
      <c r="B15" s="4" t="s">
        <v>81</v>
      </c>
      <c r="C15" s="4" t="s">
        <v>75</v>
      </c>
      <c r="D15" s="4" t="s">
        <v>76</v>
      </c>
      <c r="E15" s="4" t="s">
        <v>30</v>
      </c>
      <c r="F15" s="4" t="s">
        <v>80</v>
      </c>
      <c r="G15" s="4" t="s">
        <v>11</v>
      </c>
      <c r="H15" s="4">
        <v>701908226</v>
      </c>
      <c r="I15" s="4">
        <v>84</v>
      </c>
      <c r="J15" s="4">
        <v>73</v>
      </c>
      <c r="K15" s="5">
        <f t="shared" si="0"/>
        <v>19.01944870451613</v>
      </c>
      <c r="L15" s="5">
        <f t="shared" si="1"/>
        <v>16.528806612258066</v>
      </c>
      <c r="M15" t="s">
        <v>189</v>
      </c>
    </row>
    <row r="16" spans="1:14" x14ac:dyDescent="0.2">
      <c r="A16" s="4" t="s">
        <v>173</v>
      </c>
      <c r="B16" s="4" t="s">
        <v>84</v>
      </c>
      <c r="C16" s="4" t="s">
        <v>75</v>
      </c>
      <c r="D16" s="4" t="s">
        <v>76</v>
      </c>
      <c r="E16" s="4" t="s">
        <v>83</v>
      </c>
      <c r="F16" s="4" t="s">
        <v>82</v>
      </c>
      <c r="G16" s="4" t="s">
        <v>11</v>
      </c>
      <c r="H16" s="4">
        <v>686050188</v>
      </c>
      <c r="I16" s="4">
        <v>83</v>
      </c>
      <c r="J16" s="4">
        <v>73</v>
      </c>
      <c r="K16" s="5">
        <f t="shared" si="0"/>
        <v>18.368440517419355</v>
      </c>
      <c r="L16" s="5">
        <f t="shared" si="1"/>
        <v>16.15537539483871</v>
      </c>
      <c r="M16" t="s">
        <v>189</v>
      </c>
    </row>
    <row r="17" spans="1:13" x14ac:dyDescent="0.2">
      <c r="A17" s="4" t="s">
        <v>174</v>
      </c>
      <c r="B17" s="4" t="s">
        <v>86</v>
      </c>
      <c r="C17" s="4" t="s">
        <v>75</v>
      </c>
      <c r="D17" s="4" t="s">
        <v>76</v>
      </c>
      <c r="E17" s="4" t="s">
        <v>79</v>
      </c>
      <c r="F17" s="4" t="s">
        <v>85</v>
      </c>
      <c r="G17" s="4" t="s">
        <v>11</v>
      </c>
      <c r="H17" s="4">
        <v>636087384</v>
      </c>
      <c r="I17" s="4">
        <v>84</v>
      </c>
      <c r="J17" s="4">
        <v>73</v>
      </c>
      <c r="K17" s="5">
        <f t="shared" si="0"/>
        <v>17.235916211612903</v>
      </c>
      <c r="L17" s="5">
        <f t="shared" si="1"/>
        <v>14.978831945806451</v>
      </c>
      <c r="M17" t="s">
        <v>189</v>
      </c>
    </row>
    <row r="18" spans="1:13" x14ac:dyDescent="0.2">
      <c r="A18" s="4" t="s">
        <v>175</v>
      </c>
      <c r="B18" s="4" t="s">
        <v>88</v>
      </c>
      <c r="C18" s="4" t="s">
        <v>75</v>
      </c>
      <c r="D18" s="4" t="s">
        <v>76</v>
      </c>
      <c r="E18" s="4" t="s">
        <v>83</v>
      </c>
      <c r="F18" s="4" t="s">
        <v>87</v>
      </c>
      <c r="G18" s="4" t="s">
        <v>11</v>
      </c>
      <c r="H18" s="4">
        <v>657601514</v>
      </c>
      <c r="I18" s="4">
        <v>87</v>
      </c>
      <c r="J18" s="4">
        <v>73</v>
      </c>
      <c r="K18" s="5">
        <f t="shared" si="0"/>
        <v>18.455268296129031</v>
      </c>
      <c r="L18" s="5">
        <f t="shared" si="1"/>
        <v>15.485455007096775</v>
      </c>
      <c r="M18" t="s">
        <v>188</v>
      </c>
    </row>
    <row r="19" spans="1:13" x14ac:dyDescent="0.2">
      <c r="A19" s="4" t="s">
        <v>176</v>
      </c>
      <c r="B19" s="4" t="s">
        <v>91</v>
      </c>
      <c r="C19" s="4" t="s">
        <v>75</v>
      </c>
      <c r="D19" s="4" t="s">
        <v>90</v>
      </c>
      <c r="E19" s="4" t="s">
        <v>79</v>
      </c>
      <c r="F19" s="4" t="s">
        <v>89</v>
      </c>
      <c r="G19" s="4" t="s">
        <v>11</v>
      </c>
      <c r="H19" s="4">
        <v>1126074014</v>
      </c>
      <c r="I19" s="4">
        <v>136</v>
      </c>
      <c r="J19" s="4">
        <v>76</v>
      </c>
      <c r="K19" s="5">
        <f t="shared" si="0"/>
        <v>49.40195674322581</v>
      </c>
      <c r="L19" s="5">
        <f t="shared" si="1"/>
        <v>27.606975827096775</v>
      </c>
      <c r="M19" t="s">
        <v>189</v>
      </c>
    </row>
    <row r="20" spans="1:13" x14ac:dyDescent="0.2">
      <c r="A20" s="4" t="s">
        <v>177</v>
      </c>
      <c r="B20" s="4" t="s">
        <v>95</v>
      </c>
      <c r="C20" s="4" t="s">
        <v>75</v>
      </c>
      <c r="D20" s="4" t="s">
        <v>90</v>
      </c>
      <c r="E20" s="4" t="s">
        <v>93</v>
      </c>
      <c r="F20" s="4" t="s">
        <v>92</v>
      </c>
      <c r="G20" s="4" t="s">
        <v>11</v>
      </c>
      <c r="H20" s="4">
        <v>1045963719</v>
      </c>
      <c r="I20" s="4">
        <v>71</v>
      </c>
      <c r="J20" s="4">
        <v>77</v>
      </c>
      <c r="K20" s="5">
        <f t="shared" si="0"/>
        <v>23.955943241612903</v>
      </c>
      <c r="L20" s="5">
        <f t="shared" si="1"/>
        <v>25.980389149354838</v>
      </c>
      <c r="M20" t="s">
        <v>189</v>
      </c>
    </row>
    <row r="21" spans="1:13" x14ac:dyDescent="0.2">
      <c r="A21" s="4" t="s">
        <v>178</v>
      </c>
      <c r="B21" s="4" t="s">
        <v>100</v>
      </c>
      <c r="C21" s="4" t="s">
        <v>75</v>
      </c>
      <c r="D21" s="4" t="s">
        <v>90</v>
      </c>
      <c r="E21" s="4" t="s">
        <v>83</v>
      </c>
      <c r="F21" s="4" t="s">
        <v>97</v>
      </c>
      <c r="G21" s="4" t="s">
        <v>11</v>
      </c>
      <c r="H21" s="4">
        <v>1128155044</v>
      </c>
      <c r="I21" s="4">
        <v>146</v>
      </c>
      <c r="J21" s="4">
        <v>77</v>
      </c>
      <c r="K21" s="5">
        <f t="shared" si="0"/>
        <v>53.132463362580644</v>
      </c>
      <c r="L21" s="5">
        <f t="shared" si="1"/>
        <v>28.021915609032259</v>
      </c>
      <c r="M21" t="s">
        <v>189</v>
      </c>
    </row>
    <row r="22" spans="1:13" x14ac:dyDescent="0.2">
      <c r="A22" s="4" t="s">
        <v>179</v>
      </c>
      <c r="B22" s="4" t="s">
        <v>99</v>
      </c>
      <c r="C22" s="4" t="s">
        <v>75</v>
      </c>
      <c r="D22" s="4" t="s">
        <v>90</v>
      </c>
      <c r="E22" s="4" t="s">
        <v>79</v>
      </c>
      <c r="F22" s="4" t="s">
        <v>89</v>
      </c>
      <c r="G22" s="4" t="s">
        <v>11</v>
      </c>
      <c r="H22" s="4">
        <v>1126074014</v>
      </c>
      <c r="I22" s="4">
        <v>104</v>
      </c>
      <c r="J22" s="4">
        <v>76</v>
      </c>
      <c r="K22" s="5">
        <f t="shared" si="0"/>
        <v>37.777966921290322</v>
      </c>
      <c r="L22" s="5">
        <f t="shared" si="1"/>
        <v>27.606975827096775</v>
      </c>
      <c r="M22" t="s">
        <v>188</v>
      </c>
    </row>
    <row r="23" spans="1:13" x14ac:dyDescent="0.2">
      <c r="A23" s="4" t="s">
        <v>180</v>
      </c>
      <c r="B23" s="4" t="s">
        <v>102</v>
      </c>
      <c r="C23" s="4" t="s">
        <v>75</v>
      </c>
      <c r="D23" s="4" t="s">
        <v>90</v>
      </c>
      <c r="E23" s="4" t="s">
        <v>83</v>
      </c>
      <c r="F23" s="4" t="s">
        <v>101</v>
      </c>
      <c r="G23" s="4" t="s">
        <v>11</v>
      </c>
      <c r="H23" s="4">
        <v>721849752</v>
      </c>
      <c r="I23" s="4">
        <v>79</v>
      </c>
      <c r="J23" s="4">
        <v>71</v>
      </c>
      <c r="K23" s="5">
        <f t="shared" si="0"/>
        <v>18.395525938064516</v>
      </c>
      <c r="L23" s="5">
        <f t="shared" si="1"/>
        <v>16.532687868387097</v>
      </c>
      <c r="M23" t="s">
        <v>188</v>
      </c>
    </row>
    <row r="24" spans="1:13" x14ac:dyDescent="0.2">
      <c r="A24" s="8" t="s">
        <v>152</v>
      </c>
      <c r="B24" s="8"/>
      <c r="C24" s="8"/>
      <c r="D24" s="8"/>
      <c r="E24" s="8"/>
      <c r="F24" s="8"/>
      <c r="G24" s="8"/>
      <c r="H24" s="8"/>
      <c r="I24" s="8"/>
      <c r="J24" s="4"/>
      <c r="K24" s="4"/>
      <c r="L24" s="4"/>
    </row>
    <row r="25" spans="1:13" x14ac:dyDescent="0.2">
      <c r="A25" s="4" t="s">
        <v>5</v>
      </c>
      <c r="B25" s="4" t="s">
        <v>4</v>
      </c>
      <c r="C25" s="4" t="s">
        <v>0</v>
      </c>
      <c r="D25" s="4" t="s">
        <v>10</v>
      </c>
      <c r="E25" s="4" t="s">
        <v>125</v>
      </c>
      <c r="F25" s="4" t="s">
        <v>191</v>
      </c>
      <c r="G25" s="4" t="s">
        <v>182</v>
      </c>
      <c r="H25" s="4" t="s">
        <v>190</v>
      </c>
    </row>
    <row r="26" spans="1:13" x14ac:dyDescent="0.2">
      <c r="A26" s="4" t="s">
        <v>139</v>
      </c>
      <c r="B26" s="4" t="s">
        <v>154</v>
      </c>
      <c r="C26" s="4" t="s">
        <v>143</v>
      </c>
      <c r="D26" s="4" t="s">
        <v>138</v>
      </c>
      <c r="E26" s="4"/>
      <c r="F26">
        <v>258140636</v>
      </c>
      <c r="G26" s="5">
        <v>14</v>
      </c>
      <c r="H26" s="4" t="s">
        <v>189</v>
      </c>
    </row>
    <row r="27" spans="1:13" x14ac:dyDescent="0.2">
      <c r="A27" s="4" t="s">
        <v>140</v>
      </c>
      <c r="B27" s="4" t="s">
        <v>155</v>
      </c>
      <c r="C27" s="4" t="s">
        <v>143</v>
      </c>
      <c r="D27" s="4" t="s">
        <v>138</v>
      </c>
      <c r="E27" s="4"/>
      <c r="F27">
        <v>263245758</v>
      </c>
      <c r="G27" s="5">
        <v>14</v>
      </c>
      <c r="H27" s="4" t="s">
        <v>189</v>
      </c>
    </row>
    <row r="28" spans="1:13" x14ac:dyDescent="0.2">
      <c r="A28" s="4" t="s">
        <v>141</v>
      </c>
      <c r="B28" s="4" t="s">
        <v>156</v>
      </c>
      <c r="C28" s="4" t="s">
        <v>143</v>
      </c>
      <c r="D28" s="4" t="s">
        <v>138</v>
      </c>
      <c r="E28" s="4"/>
      <c r="F28">
        <v>269420740</v>
      </c>
      <c r="G28" s="5">
        <v>15</v>
      </c>
      <c r="H28" s="4" t="s">
        <v>188</v>
      </c>
    </row>
    <row r="29" spans="1:13" x14ac:dyDescent="0.2">
      <c r="A29" s="4" t="s">
        <v>142</v>
      </c>
      <c r="B29" s="4" t="s">
        <v>157</v>
      </c>
      <c r="C29" s="4" t="s">
        <v>143</v>
      </c>
      <c r="D29" s="4" t="s">
        <v>138</v>
      </c>
      <c r="E29" s="4"/>
      <c r="F29">
        <v>224489628</v>
      </c>
      <c r="G29" s="5">
        <v>12</v>
      </c>
      <c r="H29" s="4" t="s">
        <v>189</v>
      </c>
    </row>
    <row r="30" spans="1:13" x14ac:dyDescent="0.2">
      <c r="A30" s="4" t="s">
        <v>144</v>
      </c>
      <c r="B30" s="4" t="s">
        <v>158</v>
      </c>
      <c r="C30" s="4" t="s">
        <v>143</v>
      </c>
      <c r="D30" s="4" t="s">
        <v>138</v>
      </c>
      <c r="E30" s="4"/>
      <c r="F30">
        <v>298427006</v>
      </c>
      <c r="G30" s="5">
        <v>16</v>
      </c>
      <c r="H30" s="4" t="s">
        <v>188</v>
      </c>
    </row>
    <row r="31" spans="1:13" x14ac:dyDescent="0.2">
      <c r="A31" s="4" t="s">
        <v>145</v>
      </c>
      <c r="B31" s="4" t="s">
        <v>159</v>
      </c>
      <c r="C31" s="4" t="s">
        <v>143</v>
      </c>
      <c r="D31" s="4" t="s">
        <v>138</v>
      </c>
      <c r="E31" s="4"/>
      <c r="F31">
        <v>367622664</v>
      </c>
      <c r="G31" s="5">
        <v>18</v>
      </c>
      <c r="H31" s="4" t="s">
        <v>188</v>
      </c>
    </row>
    <row r="32" spans="1:13" x14ac:dyDescent="0.2">
      <c r="A32" s="4" t="s">
        <v>146</v>
      </c>
      <c r="B32" s="4" t="s">
        <v>160</v>
      </c>
      <c r="C32" s="4" t="s">
        <v>143</v>
      </c>
      <c r="D32" s="4" t="s">
        <v>138</v>
      </c>
      <c r="E32" s="4"/>
      <c r="F32">
        <v>319761833</v>
      </c>
      <c r="G32" s="5">
        <v>17</v>
      </c>
      <c r="H32" s="4" t="s">
        <v>188</v>
      </c>
    </row>
    <row r="33" spans="1:8" x14ac:dyDescent="0.2">
      <c r="A33" s="4" t="s">
        <v>147</v>
      </c>
      <c r="B33" s="4" t="s">
        <v>161</v>
      </c>
      <c r="C33" s="4" t="s">
        <v>143</v>
      </c>
      <c r="D33" s="4" t="s">
        <v>138</v>
      </c>
      <c r="E33" s="4"/>
      <c r="F33">
        <v>362995844</v>
      </c>
      <c r="G33" s="5">
        <v>20</v>
      </c>
      <c r="H33" s="4" t="s">
        <v>188</v>
      </c>
    </row>
    <row r="34" spans="1:8" x14ac:dyDescent="0.2">
      <c r="A34" s="4" t="s">
        <v>148</v>
      </c>
      <c r="B34" s="4" t="s">
        <v>162</v>
      </c>
      <c r="C34" s="4" t="s">
        <v>143</v>
      </c>
      <c r="D34" s="4" t="s">
        <v>138</v>
      </c>
      <c r="E34" s="4"/>
      <c r="F34">
        <v>354145858</v>
      </c>
      <c r="G34" s="5">
        <v>19</v>
      </c>
      <c r="H34" s="4" t="s">
        <v>188</v>
      </c>
    </row>
    <row r="35" spans="1:8" x14ac:dyDescent="0.2">
      <c r="A35" s="4" t="s">
        <v>149</v>
      </c>
      <c r="B35" s="4" t="s">
        <v>163</v>
      </c>
      <c r="C35" s="4" t="s">
        <v>143</v>
      </c>
      <c r="D35" s="4" t="s">
        <v>138</v>
      </c>
      <c r="E35" s="4"/>
      <c r="F35">
        <v>335400404</v>
      </c>
      <c r="G35" s="5">
        <v>18</v>
      </c>
      <c r="H35" s="4" t="s">
        <v>188</v>
      </c>
    </row>
    <row r="36" spans="1:8" x14ac:dyDescent="0.2">
      <c r="A36" s="4" t="s">
        <v>150</v>
      </c>
      <c r="B36" s="4" t="s">
        <v>164</v>
      </c>
      <c r="C36" s="4" t="s">
        <v>143</v>
      </c>
      <c r="D36" s="4" t="s">
        <v>138</v>
      </c>
      <c r="E36" s="4"/>
      <c r="F36">
        <v>1062122689</v>
      </c>
      <c r="G36" s="5">
        <v>10</v>
      </c>
      <c r="H36" s="4" t="s">
        <v>189</v>
      </c>
    </row>
    <row r="37" spans="1:8" x14ac:dyDescent="0.2">
      <c r="A37" s="4" t="s">
        <v>151</v>
      </c>
      <c r="B37" s="4" t="s">
        <v>165</v>
      </c>
      <c r="C37" s="4" t="s">
        <v>143</v>
      </c>
      <c r="D37" s="4" t="s">
        <v>138</v>
      </c>
      <c r="E37" s="4"/>
      <c r="F37">
        <v>713088373</v>
      </c>
      <c r="G37" s="5">
        <v>38</v>
      </c>
      <c r="H37" s="4" t="s">
        <v>189</v>
      </c>
    </row>
  </sheetData>
  <mergeCells count="2">
    <mergeCell ref="A1:L1"/>
    <mergeCell ref="A24:I2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85BA8-4F3E-2F48-86F2-7A54B4BC8CBE}">
  <dimension ref="A1:L20"/>
  <sheetViews>
    <sheetView workbookViewId="0">
      <selection activeCell="D27" sqref="D27"/>
    </sheetView>
  </sheetViews>
  <sheetFormatPr baseColWidth="10" defaultRowHeight="16" x14ac:dyDescent="0.2"/>
  <sheetData>
    <row r="1" spans="1:12" x14ac:dyDescent="0.2">
      <c r="A1" t="s">
        <v>123</v>
      </c>
      <c r="B1" s="1" t="s">
        <v>6</v>
      </c>
      <c r="C1" t="s">
        <v>7</v>
      </c>
      <c r="D1" t="s">
        <v>8</v>
      </c>
      <c r="E1" t="s">
        <v>12</v>
      </c>
      <c r="F1" t="s">
        <v>9</v>
      </c>
      <c r="G1" t="s">
        <v>11</v>
      </c>
      <c r="K1" s="2">
        <v>0</v>
      </c>
      <c r="L1" s="2">
        <v>0</v>
      </c>
    </row>
    <row r="2" spans="1:12" x14ac:dyDescent="0.2">
      <c r="A2" t="s">
        <v>124</v>
      </c>
      <c r="B2" t="s">
        <v>15</v>
      </c>
      <c r="C2" t="s">
        <v>7</v>
      </c>
      <c r="D2" t="s">
        <v>8</v>
      </c>
      <c r="E2" t="s">
        <v>17</v>
      </c>
      <c r="F2" t="s">
        <v>16</v>
      </c>
      <c r="G2" t="s">
        <v>11</v>
      </c>
      <c r="K2" s="2">
        <v>0</v>
      </c>
      <c r="L2" s="2">
        <v>0</v>
      </c>
    </row>
    <row r="3" spans="1:12" x14ac:dyDescent="0.2">
      <c r="A3" t="s">
        <v>126</v>
      </c>
      <c r="B3" t="s">
        <v>22</v>
      </c>
      <c r="C3" t="s">
        <v>7</v>
      </c>
      <c r="D3" t="s">
        <v>8</v>
      </c>
      <c r="E3" t="s">
        <v>13</v>
      </c>
      <c r="F3" t="s">
        <v>9</v>
      </c>
      <c r="G3" t="s">
        <v>11</v>
      </c>
      <c r="K3" s="2">
        <v>0</v>
      </c>
      <c r="L3" s="2">
        <v>0</v>
      </c>
    </row>
    <row r="4" spans="1:12" x14ac:dyDescent="0.2">
      <c r="A4" t="s">
        <v>127</v>
      </c>
      <c r="B4" t="s">
        <v>26</v>
      </c>
      <c r="C4" t="s">
        <v>7</v>
      </c>
      <c r="D4" t="s">
        <v>8</v>
      </c>
      <c r="E4" t="s">
        <v>13</v>
      </c>
      <c r="F4" t="s">
        <v>25</v>
      </c>
      <c r="G4" t="s">
        <v>11</v>
      </c>
      <c r="K4" s="2">
        <v>0</v>
      </c>
      <c r="L4" s="2">
        <v>0</v>
      </c>
    </row>
    <row r="5" spans="1:12" x14ac:dyDescent="0.2">
      <c r="A5" t="s">
        <v>43</v>
      </c>
      <c r="B5" t="s">
        <v>44</v>
      </c>
      <c r="C5" t="s">
        <v>46</v>
      </c>
      <c r="D5" t="s">
        <v>45</v>
      </c>
      <c r="E5" t="s">
        <v>47</v>
      </c>
      <c r="F5" t="s">
        <v>48</v>
      </c>
      <c r="G5" t="s">
        <v>11</v>
      </c>
      <c r="K5" s="2">
        <v>0</v>
      </c>
      <c r="L5" s="2">
        <v>0</v>
      </c>
    </row>
    <row r="6" spans="1:12" x14ac:dyDescent="0.2">
      <c r="A6" t="s">
        <v>52</v>
      </c>
      <c r="B6" s="1" t="s">
        <v>50</v>
      </c>
      <c r="C6" t="s">
        <v>46</v>
      </c>
      <c r="D6" t="s">
        <v>45</v>
      </c>
      <c r="E6" t="s">
        <v>13</v>
      </c>
      <c r="F6" t="s">
        <v>49</v>
      </c>
      <c r="G6" t="s">
        <v>11</v>
      </c>
      <c r="K6" s="2">
        <v>0</v>
      </c>
      <c r="L6" s="2">
        <v>0</v>
      </c>
    </row>
    <row r="7" spans="1:12" x14ac:dyDescent="0.2">
      <c r="A7" t="s">
        <v>53</v>
      </c>
      <c r="B7" t="s">
        <v>51</v>
      </c>
      <c r="C7" t="s">
        <v>46</v>
      </c>
      <c r="D7" t="s">
        <v>45</v>
      </c>
      <c r="E7" t="s">
        <v>13</v>
      </c>
      <c r="F7" t="s">
        <v>49</v>
      </c>
      <c r="G7" t="s">
        <v>11</v>
      </c>
      <c r="K7" s="2">
        <v>0</v>
      </c>
      <c r="L7" s="2">
        <v>0</v>
      </c>
    </row>
    <row r="8" spans="1:12" x14ac:dyDescent="0.2">
      <c r="A8" t="s">
        <v>54</v>
      </c>
      <c r="B8" t="s">
        <v>63</v>
      </c>
      <c r="C8" t="s">
        <v>62</v>
      </c>
      <c r="D8" t="s">
        <v>61</v>
      </c>
      <c r="E8" t="s">
        <v>64</v>
      </c>
      <c r="F8" t="s">
        <v>60</v>
      </c>
      <c r="G8" t="s">
        <v>11</v>
      </c>
      <c r="K8" s="2">
        <v>0</v>
      </c>
      <c r="L8" s="2">
        <v>0</v>
      </c>
    </row>
    <row r="9" spans="1:12" x14ac:dyDescent="0.2">
      <c r="A9" t="s">
        <v>55</v>
      </c>
      <c r="B9" t="s">
        <v>66</v>
      </c>
      <c r="C9" t="s">
        <v>62</v>
      </c>
      <c r="D9" t="s">
        <v>61</v>
      </c>
      <c r="E9" t="s">
        <v>64</v>
      </c>
      <c r="F9" t="s">
        <v>65</v>
      </c>
      <c r="G9" t="s">
        <v>11</v>
      </c>
      <c r="K9" s="2">
        <v>0</v>
      </c>
      <c r="L9" s="2">
        <v>0</v>
      </c>
    </row>
    <row r="10" spans="1:12" x14ac:dyDescent="0.2">
      <c r="A10" t="s">
        <v>56</v>
      </c>
      <c r="B10" t="s">
        <v>68</v>
      </c>
      <c r="C10" t="s">
        <v>62</v>
      </c>
      <c r="D10" t="s">
        <v>61</v>
      </c>
      <c r="E10" t="s">
        <v>64</v>
      </c>
      <c r="F10" t="s">
        <v>67</v>
      </c>
      <c r="G10" t="s">
        <v>11</v>
      </c>
      <c r="K10" s="2">
        <v>0</v>
      </c>
      <c r="L10" s="2">
        <v>0</v>
      </c>
    </row>
    <row r="11" spans="1:12" x14ac:dyDescent="0.2">
      <c r="A11" t="s">
        <v>57</v>
      </c>
      <c r="B11" t="s">
        <v>70</v>
      </c>
      <c r="C11" t="s">
        <v>62</v>
      </c>
      <c r="D11" t="s">
        <v>61</v>
      </c>
      <c r="E11" t="s">
        <v>64</v>
      </c>
      <c r="F11" t="s">
        <v>69</v>
      </c>
      <c r="G11" t="s">
        <v>11</v>
      </c>
      <c r="K11" s="2">
        <v>0</v>
      </c>
      <c r="L11" s="2">
        <v>0</v>
      </c>
    </row>
    <row r="12" spans="1:12" x14ac:dyDescent="0.2">
      <c r="A12" t="s">
        <v>58</v>
      </c>
      <c r="B12" t="s">
        <v>72</v>
      </c>
      <c r="C12" t="s">
        <v>62</v>
      </c>
      <c r="D12" t="s">
        <v>61</v>
      </c>
      <c r="E12" t="s">
        <v>64</v>
      </c>
      <c r="F12" t="s">
        <v>71</v>
      </c>
      <c r="G12" t="s">
        <v>11</v>
      </c>
      <c r="K12" s="2">
        <v>0</v>
      </c>
      <c r="L12" s="2">
        <v>0</v>
      </c>
    </row>
    <row r="13" spans="1:12" x14ac:dyDescent="0.2">
      <c r="A13" t="s">
        <v>59</v>
      </c>
      <c r="B13" t="s">
        <v>73</v>
      </c>
      <c r="C13" t="s">
        <v>62</v>
      </c>
      <c r="D13" t="s">
        <v>61</v>
      </c>
      <c r="E13" t="s">
        <v>64</v>
      </c>
      <c r="F13" t="s">
        <v>74</v>
      </c>
      <c r="G13" t="s">
        <v>11</v>
      </c>
      <c r="K13" s="2">
        <v>0</v>
      </c>
      <c r="L13" s="2">
        <v>0</v>
      </c>
    </row>
    <row r="14" spans="1:12" x14ac:dyDescent="0.2">
      <c r="A14" t="s">
        <v>103</v>
      </c>
      <c r="B14" t="s">
        <v>111</v>
      </c>
      <c r="C14" t="s">
        <v>109</v>
      </c>
      <c r="D14" t="s">
        <v>108</v>
      </c>
      <c r="E14" t="s">
        <v>79</v>
      </c>
      <c r="F14" t="s">
        <v>112</v>
      </c>
      <c r="G14" t="s">
        <v>11</v>
      </c>
      <c r="K14" s="2">
        <v>0</v>
      </c>
      <c r="L14" s="2">
        <v>0</v>
      </c>
    </row>
    <row r="15" spans="1:12" x14ac:dyDescent="0.2">
      <c r="A15" t="s">
        <v>104</v>
      </c>
      <c r="B15" t="s">
        <v>110</v>
      </c>
      <c r="C15" t="s">
        <v>109</v>
      </c>
      <c r="D15" t="s">
        <v>108</v>
      </c>
      <c r="E15" t="s">
        <v>83</v>
      </c>
      <c r="F15" t="s">
        <v>113</v>
      </c>
      <c r="G15" t="s">
        <v>11</v>
      </c>
      <c r="K15" s="2">
        <v>0</v>
      </c>
      <c r="L15" s="2">
        <v>0</v>
      </c>
    </row>
    <row r="16" spans="1:12" x14ac:dyDescent="0.2">
      <c r="A16" t="s">
        <v>105</v>
      </c>
      <c r="B16" t="s">
        <v>115</v>
      </c>
      <c r="C16" t="s">
        <v>109</v>
      </c>
      <c r="D16" t="s">
        <v>108</v>
      </c>
      <c r="E16" t="s">
        <v>83</v>
      </c>
      <c r="F16" t="s">
        <v>114</v>
      </c>
      <c r="G16" t="s">
        <v>11</v>
      </c>
      <c r="K16" s="2">
        <v>0</v>
      </c>
      <c r="L16" s="2">
        <v>0</v>
      </c>
    </row>
    <row r="17" spans="1:12" x14ac:dyDescent="0.2">
      <c r="A17" t="s">
        <v>106</v>
      </c>
      <c r="B17" t="s">
        <v>117</v>
      </c>
      <c r="C17" t="s">
        <v>109</v>
      </c>
      <c r="D17" t="s">
        <v>108</v>
      </c>
      <c r="E17" t="s">
        <v>120</v>
      </c>
      <c r="F17" t="s">
        <v>116</v>
      </c>
      <c r="G17" t="s">
        <v>11</v>
      </c>
      <c r="K17" s="2">
        <v>0</v>
      </c>
      <c r="L17" s="2">
        <v>0</v>
      </c>
    </row>
    <row r="18" spans="1:12" x14ac:dyDescent="0.2">
      <c r="A18" t="s">
        <v>107</v>
      </c>
      <c r="B18" t="s">
        <v>118</v>
      </c>
      <c r="C18" t="s">
        <v>109</v>
      </c>
      <c r="D18" t="s">
        <v>108</v>
      </c>
      <c r="E18" t="s">
        <v>121</v>
      </c>
      <c r="F18" t="s">
        <v>119</v>
      </c>
      <c r="G18" t="s">
        <v>11</v>
      </c>
      <c r="K18" s="2">
        <v>0</v>
      </c>
      <c r="L18" s="2">
        <v>0</v>
      </c>
    </row>
    <row r="19" spans="1:12" x14ac:dyDescent="0.2">
      <c r="A19" t="s">
        <v>96</v>
      </c>
      <c r="B19" t="s">
        <v>94</v>
      </c>
      <c r="C19" t="s">
        <v>75</v>
      </c>
      <c r="D19" t="s">
        <v>90</v>
      </c>
      <c r="E19" t="s">
        <v>93</v>
      </c>
      <c r="F19" t="s">
        <v>92</v>
      </c>
      <c r="G19" t="s">
        <v>11</v>
      </c>
      <c r="K19" s="2">
        <v>0</v>
      </c>
      <c r="L19" s="2">
        <v>0</v>
      </c>
    </row>
    <row r="20" spans="1:12" x14ac:dyDescent="0.2">
      <c r="A20" t="s">
        <v>122</v>
      </c>
      <c r="B20" t="s">
        <v>98</v>
      </c>
      <c r="C20" t="s">
        <v>75</v>
      </c>
      <c r="D20" t="s">
        <v>90</v>
      </c>
      <c r="E20" t="s">
        <v>83</v>
      </c>
      <c r="F20" t="s">
        <v>97</v>
      </c>
      <c r="G20" t="s">
        <v>11</v>
      </c>
      <c r="K20" s="2">
        <v>0</v>
      </c>
      <c r="L20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BE071-6B3F-D24D-BB83-510B2C357025}">
  <dimension ref="A1:N54"/>
  <sheetViews>
    <sheetView tabSelected="1" topLeftCell="G1" zoomScale="170" zoomScaleNormal="170" workbookViewId="0">
      <selection activeCell="J11" sqref="J11"/>
    </sheetView>
  </sheetViews>
  <sheetFormatPr baseColWidth="10" defaultRowHeight="16" x14ac:dyDescent="0.2"/>
  <cols>
    <col min="2" max="2" width="11.1640625" bestFit="1" customWidth="1"/>
    <col min="5" max="5" width="20.6640625" customWidth="1"/>
    <col min="6" max="6" width="18.33203125" customWidth="1"/>
    <col min="7" max="7" width="17.33203125" customWidth="1"/>
    <col min="8" max="8" width="17.6640625" customWidth="1"/>
    <col min="9" max="9" width="17.83203125" customWidth="1"/>
    <col min="10" max="10" width="28.33203125" customWidth="1"/>
    <col min="11" max="12" width="13.6640625" customWidth="1"/>
    <col min="13" max="13" width="18.83203125" customWidth="1"/>
    <col min="14" max="14" width="14.1640625" customWidth="1"/>
  </cols>
  <sheetData>
    <row r="1" spans="1:14" x14ac:dyDescent="0.2">
      <c r="A1" t="s">
        <v>182</v>
      </c>
      <c r="B1" t="s">
        <v>181</v>
      </c>
      <c r="C1" t="s">
        <v>183</v>
      </c>
      <c r="D1" t="s">
        <v>184</v>
      </c>
      <c r="E1" t="s">
        <v>185</v>
      </c>
      <c r="F1" t="s">
        <v>186</v>
      </c>
      <c r="G1" t="s">
        <v>187</v>
      </c>
      <c r="H1" s="1"/>
      <c r="I1" s="1" t="s">
        <v>182</v>
      </c>
      <c r="J1" s="7" t="s">
        <v>194</v>
      </c>
      <c r="K1" t="s">
        <v>192</v>
      </c>
      <c r="L1" t="s">
        <v>193</v>
      </c>
      <c r="M1" t="s">
        <v>196</v>
      </c>
      <c r="N1" t="s">
        <v>195</v>
      </c>
    </row>
    <row r="2" spans="1:14" x14ac:dyDescent="0.2">
      <c r="A2">
        <v>30</v>
      </c>
      <c r="B2">
        <v>3100000000</v>
      </c>
      <c r="C2">
        <v>100</v>
      </c>
      <c r="D2">
        <f>A2*B2/C2</f>
        <v>930000000</v>
      </c>
      <c r="E2">
        <v>1E-4</v>
      </c>
      <c r="F2">
        <f>E2*D2</f>
        <v>93000</v>
      </c>
      <c r="G2" s="2">
        <f>ROUND(D2*(1-E2),0)</f>
        <v>929907000</v>
      </c>
      <c r="I2">
        <v>30</v>
      </c>
      <c r="J2">
        <v>10</v>
      </c>
      <c r="K2">
        <v>30</v>
      </c>
      <c r="L2">
        <f t="shared" ref="L2:L7" si="0">K2*J2</f>
        <v>300</v>
      </c>
      <c r="M2">
        <v>60</v>
      </c>
      <c r="N2">
        <f t="shared" ref="N2:N7" si="1">M2*L2/1000</f>
        <v>18</v>
      </c>
    </row>
    <row r="3" spans="1:14" x14ac:dyDescent="0.2">
      <c r="A3">
        <v>25</v>
      </c>
      <c r="B3">
        <v>3100000000</v>
      </c>
      <c r="C3">
        <v>100</v>
      </c>
      <c r="D3">
        <f t="shared" ref="D3:D8" si="2">A3*B3/C3</f>
        <v>775000000</v>
      </c>
      <c r="E3">
        <v>1E-4</v>
      </c>
      <c r="F3">
        <f t="shared" ref="F3:F8" si="3">E3*D3</f>
        <v>77500</v>
      </c>
      <c r="G3" s="2">
        <f t="shared" ref="G3:G8" si="4">ROUND(D3*(1-E3),0)</f>
        <v>774922500</v>
      </c>
      <c r="I3">
        <v>20</v>
      </c>
      <c r="J3">
        <v>10</v>
      </c>
      <c r="K3">
        <v>30</v>
      </c>
      <c r="L3">
        <f t="shared" si="0"/>
        <v>300</v>
      </c>
      <c r="M3">
        <v>40</v>
      </c>
      <c r="N3">
        <f t="shared" si="1"/>
        <v>12</v>
      </c>
    </row>
    <row r="4" spans="1:14" x14ac:dyDescent="0.2">
      <c r="A4">
        <v>20</v>
      </c>
      <c r="B4">
        <v>3100000000</v>
      </c>
      <c r="C4">
        <v>100</v>
      </c>
      <c r="D4">
        <f t="shared" si="2"/>
        <v>620000000</v>
      </c>
      <c r="E4">
        <v>1E-4</v>
      </c>
      <c r="F4">
        <f t="shared" si="3"/>
        <v>62000</v>
      </c>
      <c r="G4" s="2">
        <f t="shared" si="4"/>
        <v>619938000</v>
      </c>
      <c r="I4">
        <v>10</v>
      </c>
      <c r="J4">
        <v>10</v>
      </c>
      <c r="K4">
        <v>30</v>
      </c>
      <c r="L4">
        <f t="shared" si="0"/>
        <v>300</v>
      </c>
      <c r="M4">
        <v>20</v>
      </c>
      <c r="N4">
        <f t="shared" si="1"/>
        <v>6</v>
      </c>
    </row>
    <row r="5" spans="1:14" x14ac:dyDescent="0.2">
      <c r="A5">
        <v>15</v>
      </c>
      <c r="B5">
        <v>3100000000</v>
      </c>
      <c r="C5">
        <v>100</v>
      </c>
      <c r="D5">
        <f t="shared" si="2"/>
        <v>465000000</v>
      </c>
      <c r="E5">
        <v>1E-4</v>
      </c>
      <c r="F5">
        <f t="shared" si="3"/>
        <v>46500</v>
      </c>
      <c r="G5" s="2">
        <f t="shared" si="4"/>
        <v>464953500</v>
      </c>
      <c r="I5">
        <v>5</v>
      </c>
      <c r="J5">
        <v>10</v>
      </c>
      <c r="K5">
        <v>30</v>
      </c>
      <c r="L5">
        <f t="shared" si="0"/>
        <v>300</v>
      </c>
      <c r="M5">
        <v>10</v>
      </c>
      <c r="N5">
        <f t="shared" si="1"/>
        <v>3</v>
      </c>
    </row>
    <row r="6" spans="1:14" x14ac:dyDescent="0.2">
      <c r="A6">
        <v>10</v>
      </c>
      <c r="B6">
        <v>3100000000</v>
      </c>
      <c r="C6">
        <v>100</v>
      </c>
      <c r="D6">
        <f t="shared" si="2"/>
        <v>310000000</v>
      </c>
      <c r="E6">
        <v>1E-4</v>
      </c>
      <c r="F6">
        <f t="shared" si="3"/>
        <v>31000</v>
      </c>
      <c r="G6" s="2">
        <f t="shared" si="4"/>
        <v>309969000</v>
      </c>
      <c r="I6">
        <v>3</v>
      </c>
      <c r="J6">
        <v>10</v>
      </c>
      <c r="K6">
        <v>30</v>
      </c>
      <c r="L6">
        <f t="shared" si="0"/>
        <v>300</v>
      </c>
      <c r="M6">
        <v>6</v>
      </c>
      <c r="N6">
        <f t="shared" si="1"/>
        <v>1.8</v>
      </c>
    </row>
    <row r="7" spans="1:14" x14ac:dyDescent="0.2">
      <c r="A7">
        <v>5</v>
      </c>
      <c r="B7">
        <v>3100000000</v>
      </c>
      <c r="C7">
        <v>100</v>
      </c>
      <c r="D7">
        <f t="shared" si="2"/>
        <v>155000000</v>
      </c>
      <c r="E7">
        <v>1E-4</v>
      </c>
      <c r="F7">
        <f t="shared" si="3"/>
        <v>15500</v>
      </c>
      <c r="G7" s="2">
        <f t="shared" si="4"/>
        <v>154984500</v>
      </c>
      <c r="I7">
        <v>1</v>
      </c>
      <c r="J7">
        <v>10</v>
      </c>
      <c r="K7">
        <v>30</v>
      </c>
      <c r="L7">
        <f t="shared" si="0"/>
        <v>300</v>
      </c>
      <c r="M7">
        <v>2</v>
      </c>
      <c r="N7">
        <f t="shared" si="1"/>
        <v>0.6</v>
      </c>
    </row>
    <row r="8" spans="1:14" x14ac:dyDescent="0.2">
      <c r="A8">
        <v>3</v>
      </c>
      <c r="B8">
        <v>3100000000</v>
      </c>
      <c r="C8">
        <v>100</v>
      </c>
      <c r="D8">
        <f t="shared" si="2"/>
        <v>93000000</v>
      </c>
      <c r="E8">
        <v>1E-4</v>
      </c>
      <c r="F8">
        <f t="shared" si="3"/>
        <v>9300</v>
      </c>
      <c r="G8" s="2">
        <f t="shared" si="4"/>
        <v>92990700</v>
      </c>
    </row>
    <row r="9" spans="1:14" x14ac:dyDescent="0.2">
      <c r="A9">
        <v>1</v>
      </c>
      <c r="B9">
        <v>3100000000</v>
      </c>
      <c r="C9">
        <v>100</v>
      </c>
      <c r="D9">
        <f t="shared" ref="D9" si="5">A9*B9/C9</f>
        <v>31000000</v>
      </c>
      <c r="E9">
        <v>1E-4</v>
      </c>
      <c r="F9">
        <f t="shared" ref="F9" si="6">E9*D9</f>
        <v>3100</v>
      </c>
      <c r="G9" s="2">
        <f t="shared" ref="G9:G54" si="7">ROUND(D9*(1-E9),0)</f>
        <v>30996900</v>
      </c>
    </row>
    <row r="10" spans="1:14" x14ac:dyDescent="0.2">
      <c r="A10">
        <v>30</v>
      </c>
      <c r="B10">
        <v>3100000000</v>
      </c>
      <c r="C10">
        <v>100</v>
      </c>
      <c r="D10">
        <f>A10*B10/C10</f>
        <v>930000000</v>
      </c>
      <c r="E10">
        <v>1E-3</v>
      </c>
      <c r="F10">
        <f>E10*D10</f>
        <v>930000</v>
      </c>
      <c r="G10" s="2">
        <f t="shared" si="7"/>
        <v>929070000</v>
      </c>
    </row>
    <row r="11" spans="1:14" x14ac:dyDescent="0.2">
      <c r="A11">
        <v>20</v>
      </c>
      <c r="B11">
        <v>3100000000</v>
      </c>
      <c r="C11">
        <v>100</v>
      </c>
      <c r="D11">
        <f t="shared" ref="D11:D14" si="8">A11*B11/C11</f>
        <v>620000000</v>
      </c>
      <c r="E11">
        <v>1E-3</v>
      </c>
      <c r="F11">
        <f t="shared" ref="F11:F14" si="9">E11*D11</f>
        <v>620000</v>
      </c>
      <c r="G11" s="2">
        <f t="shared" si="7"/>
        <v>619380000</v>
      </c>
      <c r="M11">
        <f>SUM(N2:N7)*0.57*4</f>
        <v>94.391999999999982</v>
      </c>
    </row>
    <row r="12" spans="1:14" x14ac:dyDescent="0.2">
      <c r="A12">
        <v>10</v>
      </c>
      <c r="B12">
        <v>3100000000</v>
      </c>
      <c r="C12">
        <v>100</v>
      </c>
      <c r="D12">
        <f t="shared" si="8"/>
        <v>310000000</v>
      </c>
      <c r="E12">
        <v>1E-3</v>
      </c>
      <c r="F12">
        <f t="shared" si="9"/>
        <v>310000</v>
      </c>
      <c r="G12" s="2">
        <f t="shared" si="7"/>
        <v>309690000</v>
      </c>
    </row>
    <row r="13" spans="1:14" x14ac:dyDescent="0.2">
      <c r="A13">
        <v>5</v>
      </c>
      <c r="B13">
        <v>3100000000</v>
      </c>
      <c r="C13">
        <v>100</v>
      </c>
      <c r="D13">
        <f t="shared" si="8"/>
        <v>155000000</v>
      </c>
      <c r="E13">
        <v>1E-3</v>
      </c>
      <c r="F13">
        <f t="shared" si="9"/>
        <v>155000</v>
      </c>
      <c r="G13" s="2">
        <f t="shared" si="7"/>
        <v>154845000</v>
      </c>
    </row>
    <row r="14" spans="1:14" x14ac:dyDescent="0.2">
      <c r="A14">
        <v>1</v>
      </c>
      <c r="B14">
        <v>3100000000</v>
      </c>
      <c r="C14">
        <v>100</v>
      </c>
      <c r="D14">
        <f t="shared" si="8"/>
        <v>31000000</v>
      </c>
      <c r="E14">
        <v>1E-3</v>
      </c>
      <c r="F14">
        <f t="shared" si="9"/>
        <v>31000</v>
      </c>
      <c r="G14" s="2">
        <f t="shared" si="7"/>
        <v>30969000</v>
      </c>
    </row>
    <row r="15" spans="1:14" x14ac:dyDescent="0.2">
      <c r="A15">
        <v>30</v>
      </c>
      <c r="B15">
        <v>3100000000</v>
      </c>
      <c r="C15">
        <v>100</v>
      </c>
      <c r="D15">
        <f>A15*B15/C15</f>
        <v>930000000</v>
      </c>
      <c r="E15">
        <v>3.0000000000000001E-3</v>
      </c>
      <c r="F15">
        <f>E15*D15</f>
        <v>2790000</v>
      </c>
      <c r="G15" s="2">
        <f t="shared" si="7"/>
        <v>927210000</v>
      </c>
    </row>
    <row r="16" spans="1:14" x14ac:dyDescent="0.2">
      <c r="A16">
        <v>20</v>
      </c>
      <c r="B16">
        <v>3100000000</v>
      </c>
      <c r="C16">
        <v>100</v>
      </c>
      <c r="D16">
        <f t="shared" ref="D16:D19" si="10">A16*B16/C16</f>
        <v>620000000</v>
      </c>
      <c r="E16">
        <v>3.0000000000000001E-3</v>
      </c>
      <c r="F16">
        <f t="shared" ref="F16:F19" si="11">E16*D16</f>
        <v>1860000</v>
      </c>
      <c r="G16" s="2">
        <f t="shared" si="7"/>
        <v>618140000</v>
      </c>
    </row>
    <row r="17" spans="1:7" x14ac:dyDescent="0.2">
      <c r="A17">
        <v>10</v>
      </c>
      <c r="B17">
        <v>3100000000</v>
      </c>
      <c r="C17">
        <v>100</v>
      </c>
      <c r="D17">
        <f t="shared" si="10"/>
        <v>310000000</v>
      </c>
      <c r="E17">
        <v>3.0000000000000001E-3</v>
      </c>
      <c r="F17">
        <f t="shared" si="11"/>
        <v>930000</v>
      </c>
      <c r="G17" s="2">
        <f t="shared" si="7"/>
        <v>309070000</v>
      </c>
    </row>
    <row r="18" spans="1:7" x14ac:dyDescent="0.2">
      <c r="A18">
        <v>5</v>
      </c>
      <c r="B18">
        <v>3100000000</v>
      </c>
      <c r="C18">
        <v>100</v>
      </c>
      <c r="D18">
        <f t="shared" si="10"/>
        <v>155000000</v>
      </c>
      <c r="E18">
        <v>3.0000000000000001E-3</v>
      </c>
      <c r="F18">
        <f t="shared" si="11"/>
        <v>465000</v>
      </c>
      <c r="G18" s="2">
        <f t="shared" si="7"/>
        <v>154535000</v>
      </c>
    </row>
    <row r="19" spans="1:7" x14ac:dyDescent="0.2">
      <c r="A19">
        <v>1</v>
      </c>
      <c r="B19">
        <v>3100000000</v>
      </c>
      <c r="C19">
        <v>100</v>
      </c>
      <c r="D19">
        <f t="shared" si="10"/>
        <v>31000000</v>
      </c>
      <c r="E19">
        <v>3.0000000000000001E-3</v>
      </c>
      <c r="F19">
        <f t="shared" si="11"/>
        <v>93000</v>
      </c>
      <c r="G19" s="2">
        <f t="shared" si="7"/>
        <v>30907000</v>
      </c>
    </row>
    <row r="20" spans="1:7" x14ac:dyDescent="0.2">
      <c r="A20">
        <v>30</v>
      </c>
      <c r="B20">
        <v>3100000000</v>
      </c>
      <c r="C20">
        <v>100</v>
      </c>
      <c r="D20">
        <f>A20*B20/C20</f>
        <v>930000000</v>
      </c>
      <c r="E20">
        <v>7.0000000000000001E-3</v>
      </c>
      <c r="F20">
        <f>E20*D20</f>
        <v>6510000</v>
      </c>
      <c r="G20" s="2">
        <f t="shared" si="7"/>
        <v>923490000</v>
      </c>
    </row>
    <row r="21" spans="1:7" x14ac:dyDescent="0.2">
      <c r="A21">
        <v>20</v>
      </c>
      <c r="B21">
        <v>3100000000</v>
      </c>
      <c r="C21">
        <v>100</v>
      </c>
      <c r="D21">
        <f t="shared" ref="D21:D24" si="12">A21*B21/C21</f>
        <v>620000000</v>
      </c>
      <c r="E21">
        <v>7.0000000000000001E-3</v>
      </c>
      <c r="F21">
        <f t="shared" ref="F21:F24" si="13">E21*D21</f>
        <v>4340000</v>
      </c>
      <c r="G21" s="2">
        <f t="shared" si="7"/>
        <v>615660000</v>
      </c>
    </row>
    <row r="22" spans="1:7" x14ac:dyDescent="0.2">
      <c r="A22">
        <v>10</v>
      </c>
      <c r="B22">
        <v>3100000000</v>
      </c>
      <c r="C22">
        <v>100</v>
      </c>
      <c r="D22">
        <f t="shared" si="12"/>
        <v>310000000</v>
      </c>
      <c r="E22">
        <v>7.0000000000000001E-3</v>
      </c>
      <c r="F22">
        <f t="shared" si="13"/>
        <v>2170000</v>
      </c>
      <c r="G22" s="2">
        <f t="shared" si="7"/>
        <v>307830000</v>
      </c>
    </row>
    <row r="23" spans="1:7" x14ac:dyDescent="0.2">
      <c r="A23">
        <v>5</v>
      </c>
      <c r="B23">
        <v>3100000000</v>
      </c>
      <c r="C23">
        <v>100</v>
      </c>
      <c r="D23">
        <f t="shared" si="12"/>
        <v>155000000</v>
      </c>
      <c r="E23">
        <v>7.0000000000000001E-3</v>
      </c>
      <c r="F23">
        <f t="shared" si="13"/>
        <v>1085000</v>
      </c>
      <c r="G23" s="2">
        <f t="shared" si="7"/>
        <v>153915000</v>
      </c>
    </row>
    <row r="24" spans="1:7" x14ac:dyDescent="0.2">
      <c r="A24">
        <v>1</v>
      </c>
      <c r="B24">
        <v>3100000000</v>
      </c>
      <c r="C24">
        <v>100</v>
      </c>
      <c r="D24">
        <f t="shared" si="12"/>
        <v>31000000</v>
      </c>
      <c r="E24">
        <v>7.0000000000000001E-3</v>
      </c>
      <c r="F24">
        <f t="shared" si="13"/>
        <v>217000</v>
      </c>
      <c r="G24" s="2">
        <f t="shared" si="7"/>
        <v>30783000</v>
      </c>
    </row>
    <row r="25" spans="1:7" x14ac:dyDescent="0.2">
      <c r="A25">
        <v>30</v>
      </c>
      <c r="B25">
        <v>3100000000</v>
      </c>
      <c r="C25">
        <v>100</v>
      </c>
      <c r="D25">
        <f>A25*B25/C25</f>
        <v>930000000</v>
      </c>
      <c r="E25">
        <v>0.01</v>
      </c>
      <c r="F25">
        <f>E25*D25</f>
        <v>9300000</v>
      </c>
      <c r="G25" s="2">
        <f t="shared" si="7"/>
        <v>920700000</v>
      </c>
    </row>
    <row r="26" spans="1:7" x14ac:dyDescent="0.2">
      <c r="A26">
        <v>20</v>
      </c>
      <c r="B26">
        <v>3100000000</v>
      </c>
      <c r="C26">
        <v>100</v>
      </c>
      <c r="D26">
        <f t="shared" ref="D26:D29" si="14">A26*B26/C26</f>
        <v>620000000</v>
      </c>
      <c r="E26">
        <v>0.01</v>
      </c>
      <c r="F26">
        <f t="shared" ref="F26:F29" si="15">E26*D26</f>
        <v>6200000</v>
      </c>
      <c r="G26" s="2">
        <f t="shared" si="7"/>
        <v>613800000</v>
      </c>
    </row>
    <row r="27" spans="1:7" x14ac:dyDescent="0.2">
      <c r="A27">
        <v>10</v>
      </c>
      <c r="B27">
        <v>3100000000</v>
      </c>
      <c r="C27">
        <v>100</v>
      </c>
      <c r="D27">
        <f t="shared" si="14"/>
        <v>310000000</v>
      </c>
      <c r="E27">
        <v>0.01</v>
      </c>
      <c r="F27">
        <f t="shared" si="15"/>
        <v>3100000</v>
      </c>
      <c r="G27" s="2">
        <f t="shared" si="7"/>
        <v>306900000</v>
      </c>
    </row>
    <row r="28" spans="1:7" x14ac:dyDescent="0.2">
      <c r="A28">
        <v>5</v>
      </c>
      <c r="B28">
        <v>3100000000</v>
      </c>
      <c r="C28">
        <v>100</v>
      </c>
      <c r="D28">
        <f t="shared" si="14"/>
        <v>155000000</v>
      </c>
      <c r="E28">
        <v>0.01</v>
      </c>
      <c r="F28">
        <f t="shared" si="15"/>
        <v>1550000</v>
      </c>
      <c r="G28" s="2">
        <f t="shared" si="7"/>
        <v>153450000</v>
      </c>
    </row>
    <row r="29" spans="1:7" x14ac:dyDescent="0.2">
      <c r="A29">
        <v>1</v>
      </c>
      <c r="B29">
        <v>3100000000</v>
      </c>
      <c r="C29">
        <v>100</v>
      </c>
      <c r="D29">
        <f t="shared" si="14"/>
        <v>31000000</v>
      </c>
      <c r="E29">
        <v>0.01</v>
      </c>
      <c r="F29">
        <f t="shared" si="15"/>
        <v>310000</v>
      </c>
      <c r="G29" s="2">
        <f t="shared" si="7"/>
        <v>30690000</v>
      </c>
    </row>
    <row r="30" spans="1:7" x14ac:dyDescent="0.2">
      <c r="A30">
        <v>30</v>
      </c>
      <c r="B30">
        <v>3100000000</v>
      </c>
      <c r="C30">
        <v>100</v>
      </c>
      <c r="D30">
        <f>A30*B30/C30</f>
        <v>930000000</v>
      </c>
      <c r="E30">
        <v>2.5000000000000001E-2</v>
      </c>
      <c r="F30">
        <f>E30*D30</f>
        <v>23250000</v>
      </c>
      <c r="G30" s="2">
        <f t="shared" si="7"/>
        <v>906750000</v>
      </c>
    </row>
    <row r="31" spans="1:7" x14ac:dyDescent="0.2">
      <c r="A31">
        <v>20</v>
      </c>
      <c r="B31">
        <v>3100000000</v>
      </c>
      <c r="C31">
        <v>100</v>
      </c>
      <c r="D31">
        <f t="shared" ref="D31:D34" si="16">A31*B31/C31</f>
        <v>620000000</v>
      </c>
      <c r="E31">
        <v>2.5000000000000001E-2</v>
      </c>
      <c r="F31">
        <f t="shared" ref="F31:F34" si="17">E31*D31</f>
        <v>15500000</v>
      </c>
      <c r="G31" s="2">
        <f t="shared" si="7"/>
        <v>604500000</v>
      </c>
    </row>
    <row r="32" spans="1:7" x14ac:dyDescent="0.2">
      <c r="A32">
        <v>10</v>
      </c>
      <c r="B32">
        <v>3100000000</v>
      </c>
      <c r="C32">
        <v>100</v>
      </c>
      <c r="D32">
        <f t="shared" si="16"/>
        <v>310000000</v>
      </c>
      <c r="E32">
        <v>2.5000000000000001E-2</v>
      </c>
      <c r="F32">
        <f t="shared" si="17"/>
        <v>7750000</v>
      </c>
      <c r="G32" s="2">
        <f t="shared" si="7"/>
        <v>302250000</v>
      </c>
    </row>
    <row r="33" spans="1:7" x14ac:dyDescent="0.2">
      <c r="A33">
        <v>5</v>
      </c>
      <c r="B33">
        <v>3100000000</v>
      </c>
      <c r="C33">
        <v>100</v>
      </c>
      <c r="D33">
        <f t="shared" si="16"/>
        <v>155000000</v>
      </c>
      <c r="E33">
        <v>2.5000000000000001E-2</v>
      </c>
      <c r="F33">
        <f t="shared" si="17"/>
        <v>3875000</v>
      </c>
      <c r="G33" s="2">
        <f t="shared" si="7"/>
        <v>151125000</v>
      </c>
    </row>
    <row r="34" spans="1:7" x14ac:dyDescent="0.2">
      <c r="A34">
        <v>1</v>
      </c>
      <c r="B34">
        <v>3100000000</v>
      </c>
      <c r="C34">
        <v>100</v>
      </c>
      <c r="D34">
        <f t="shared" si="16"/>
        <v>31000000</v>
      </c>
      <c r="E34">
        <v>2.5000000000000001E-2</v>
      </c>
      <c r="F34">
        <f t="shared" si="17"/>
        <v>775000</v>
      </c>
      <c r="G34" s="2">
        <f t="shared" si="7"/>
        <v>30225000</v>
      </c>
    </row>
    <row r="35" spans="1:7" x14ac:dyDescent="0.2">
      <c r="A35">
        <v>30</v>
      </c>
      <c r="B35">
        <v>3100000000</v>
      </c>
      <c r="C35">
        <v>100</v>
      </c>
      <c r="D35">
        <f>A35*B35/C35</f>
        <v>930000000</v>
      </c>
      <c r="E35">
        <v>0.05</v>
      </c>
      <c r="F35">
        <f>E35*D35</f>
        <v>46500000</v>
      </c>
      <c r="G35" s="2">
        <f t="shared" si="7"/>
        <v>883500000</v>
      </c>
    </row>
    <row r="36" spans="1:7" x14ac:dyDescent="0.2">
      <c r="A36">
        <v>20</v>
      </c>
      <c r="B36">
        <v>3100000000</v>
      </c>
      <c r="C36">
        <v>100</v>
      </c>
      <c r="D36">
        <f t="shared" ref="D36:D39" si="18">A36*B36/C36</f>
        <v>620000000</v>
      </c>
      <c r="E36">
        <v>0.05</v>
      </c>
      <c r="F36">
        <f t="shared" ref="F36:F39" si="19">E36*D36</f>
        <v>31000000</v>
      </c>
      <c r="G36" s="2">
        <f t="shared" si="7"/>
        <v>589000000</v>
      </c>
    </row>
    <row r="37" spans="1:7" x14ac:dyDescent="0.2">
      <c r="A37">
        <v>10</v>
      </c>
      <c r="B37">
        <v>3100000000</v>
      </c>
      <c r="C37">
        <v>100</v>
      </c>
      <c r="D37">
        <f t="shared" si="18"/>
        <v>310000000</v>
      </c>
      <c r="E37">
        <v>0.05</v>
      </c>
      <c r="F37">
        <f t="shared" si="19"/>
        <v>15500000</v>
      </c>
      <c r="G37" s="2">
        <f t="shared" si="7"/>
        <v>294500000</v>
      </c>
    </row>
    <row r="38" spans="1:7" x14ac:dyDescent="0.2">
      <c r="A38">
        <v>5</v>
      </c>
      <c r="B38">
        <v>3100000000</v>
      </c>
      <c r="C38">
        <v>100</v>
      </c>
      <c r="D38">
        <f t="shared" si="18"/>
        <v>155000000</v>
      </c>
      <c r="E38">
        <v>0.05</v>
      </c>
      <c r="F38">
        <f t="shared" si="19"/>
        <v>7750000</v>
      </c>
      <c r="G38" s="2">
        <f t="shared" si="7"/>
        <v>147250000</v>
      </c>
    </row>
    <row r="39" spans="1:7" x14ac:dyDescent="0.2">
      <c r="A39">
        <v>1</v>
      </c>
      <c r="B39">
        <v>3100000000</v>
      </c>
      <c r="C39">
        <v>100</v>
      </c>
      <c r="D39">
        <f t="shared" si="18"/>
        <v>31000000</v>
      </c>
      <c r="E39">
        <v>0.05</v>
      </c>
      <c r="F39">
        <f t="shared" si="19"/>
        <v>1550000</v>
      </c>
      <c r="G39" s="2">
        <f t="shared" si="7"/>
        <v>29450000</v>
      </c>
    </row>
    <row r="40" spans="1:7" x14ac:dyDescent="0.2">
      <c r="A40">
        <v>30</v>
      </c>
      <c r="B40">
        <v>3100000000</v>
      </c>
      <c r="C40">
        <v>100</v>
      </c>
      <c r="D40">
        <f>A40*B40/C40</f>
        <v>930000000</v>
      </c>
      <c r="E40">
        <v>0.1</v>
      </c>
      <c r="F40">
        <f>E40*D40</f>
        <v>93000000</v>
      </c>
      <c r="G40" s="2">
        <f t="shared" si="7"/>
        <v>837000000</v>
      </c>
    </row>
    <row r="41" spans="1:7" x14ac:dyDescent="0.2">
      <c r="A41">
        <v>20</v>
      </c>
      <c r="B41">
        <v>3100000000</v>
      </c>
      <c r="C41">
        <v>100</v>
      </c>
      <c r="D41">
        <f t="shared" ref="D41:D44" si="20">A41*B41/C41</f>
        <v>620000000</v>
      </c>
      <c r="E41">
        <v>0.1</v>
      </c>
      <c r="F41">
        <f t="shared" ref="F41:F44" si="21">E41*D41</f>
        <v>62000000</v>
      </c>
      <c r="G41" s="2">
        <f t="shared" si="7"/>
        <v>558000000</v>
      </c>
    </row>
    <row r="42" spans="1:7" x14ac:dyDescent="0.2">
      <c r="A42">
        <v>10</v>
      </c>
      <c r="B42">
        <v>3100000000</v>
      </c>
      <c r="C42">
        <v>100</v>
      </c>
      <c r="D42">
        <f t="shared" si="20"/>
        <v>310000000</v>
      </c>
      <c r="E42">
        <v>0.1</v>
      </c>
      <c r="F42">
        <f t="shared" si="21"/>
        <v>31000000</v>
      </c>
      <c r="G42" s="2">
        <f t="shared" si="7"/>
        <v>279000000</v>
      </c>
    </row>
    <row r="43" spans="1:7" x14ac:dyDescent="0.2">
      <c r="A43">
        <v>5</v>
      </c>
      <c r="B43">
        <v>3100000000</v>
      </c>
      <c r="C43">
        <v>100</v>
      </c>
      <c r="D43">
        <f t="shared" si="20"/>
        <v>155000000</v>
      </c>
      <c r="E43">
        <v>0.1</v>
      </c>
      <c r="F43">
        <f t="shared" si="21"/>
        <v>15500000</v>
      </c>
      <c r="G43" s="2">
        <f t="shared" si="7"/>
        <v>139500000</v>
      </c>
    </row>
    <row r="44" spans="1:7" x14ac:dyDescent="0.2">
      <c r="A44">
        <v>1</v>
      </c>
      <c r="B44">
        <v>3100000000</v>
      </c>
      <c r="C44">
        <v>100</v>
      </c>
      <c r="D44">
        <f t="shared" si="20"/>
        <v>31000000</v>
      </c>
      <c r="E44">
        <v>0.1</v>
      </c>
      <c r="F44">
        <f t="shared" si="21"/>
        <v>3100000</v>
      </c>
      <c r="G44" s="2">
        <f t="shared" si="7"/>
        <v>27900000</v>
      </c>
    </row>
    <row r="45" spans="1:7" x14ac:dyDescent="0.2">
      <c r="A45">
        <v>30</v>
      </c>
      <c r="B45">
        <v>3100000000</v>
      </c>
      <c r="C45">
        <v>100</v>
      </c>
      <c r="D45">
        <f>A45*B45/C45</f>
        <v>930000000</v>
      </c>
      <c r="E45">
        <v>0.25</v>
      </c>
      <c r="F45">
        <f>E45*D45</f>
        <v>232500000</v>
      </c>
      <c r="G45" s="2">
        <f t="shared" si="7"/>
        <v>697500000</v>
      </c>
    </row>
    <row r="46" spans="1:7" x14ac:dyDescent="0.2">
      <c r="A46">
        <v>20</v>
      </c>
      <c r="B46">
        <v>3100000000</v>
      </c>
      <c r="C46">
        <v>100</v>
      </c>
      <c r="D46">
        <f t="shared" ref="D46:D49" si="22">A46*B46/C46</f>
        <v>620000000</v>
      </c>
      <c r="E46">
        <v>0.25</v>
      </c>
      <c r="F46">
        <f t="shared" ref="F46:F49" si="23">E46*D46</f>
        <v>155000000</v>
      </c>
      <c r="G46" s="2">
        <f t="shared" si="7"/>
        <v>465000000</v>
      </c>
    </row>
    <row r="47" spans="1:7" x14ac:dyDescent="0.2">
      <c r="A47">
        <v>10</v>
      </c>
      <c r="B47">
        <v>3100000000</v>
      </c>
      <c r="C47">
        <v>100</v>
      </c>
      <c r="D47">
        <f t="shared" si="22"/>
        <v>310000000</v>
      </c>
      <c r="E47">
        <v>0.25</v>
      </c>
      <c r="F47">
        <f t="shared" si="23"/>
        <v>77500000</v>
      </c>
      <c r="G47" s="2">
        <f t="shared" si="7"/>
        <v>232500000</v>
      </c>
    </row>
    <row r="48" spans="1:7" x14ac:dyDescent="0.2">
      <c r="A48">
        <v>5</v>
      </c>
      <c r="B48">
        <v>3100000000</v>
      </c>
      <c r="C48">
        <v>100</v>
      </c>
      <c r="D48">
        <f t="shared" si="22"/>
        <v>155000000</v>
      </c>
      <c r="E48">
        <v>0.25</v>
      </c>
      <c r="F48">
        <f t="shared" si="23"/>
        <v>38750000</v>
      </c>
      <c r="G48" s="2">
        <f t="shared" si="7"/>
        <v>116250000</v>
      </c>
    </row>
    <row r="49" spans="1:7" x14ac:dyDescent="0.2">
      <c r="A49">
        <v>1</v>
      </c>
      <c r="B49">
        <v>3100000000</v>
      </c>
      <c r="C49">
        <v>100</v>
      </c>
      <c r="D49">
        <f t="shared" si="22"/>
        <v>31000000</v>
      </c>
      <c r="E49">
        <v>0.25</v>
      </c>
      <c r="F49">
        <f t="shared" si="23"/>
        <v>7750000</v>
      </c>
      <c r="G49" s="2">
        <f t="shared" si="7"/>
        <v>23250000</v>
      </c>
    </row>
    <row r="50" spans="1:7" x14ac:dyDescent="0.2">
      <c r="A50">
        <v>30</v>
      </c>
      <c r="B50">
        <v>3100000000</v>
      </c>
      <c r="C50">
        <v>100</v>
      </c>
      <c r="D50">
        <f>A50*B50/C50</f>
        <v>930000000</v>
      </c>
      <c r="E50">
        <v>0.5</v>
      </c>
      <c r="F50" s="6">
        <f>E50*D50</f>
        <v>465000000</v>
      </c>
      <c r="G50" s="2">
        <f t="shared" si="7"/>
        <v>465000000</v>
      </c>
    </row>
    <row r="51" spans="1:7" x14ac:dyDescent="0.2">
      <c r="A51">
        <v>20</v>
      </c>
      <c r="B51">
        <v>3100000000</v>
      </c>
      <c r="C51">
        <v>100</v>
      </c>
      <c r="D51">
        <f t="shared" ref="D51:D54" si="24">A51*B51/C51</f>
        <v>620000000</v>
      </c>
      <c r="E51">
        <v>0.5</v>
      </c>
      <c r="F51" s="6">
        <f t="shared" ref="F51:F54" si="25">E51*D51</f>
        <v>310000000</v>
      </c>
      <c r="G51" s="2">
        <f t="shared" si="7"/>
        <v>310000000</v>
      </c>
    </row>
    <row r="52" spans="1:7" x14ac:dyDescent="0.2">
      <c r="A52">
        <v>10</v>
      </c>
      <c r="B52">
        <v>3100000000</v>
      </c>
      <c r="C52">
        <v>100</v>
      </c>
      <c r="D52">
        <f t="shared" si="24"/>
        <v>310000000</v>
      </c>
      <c r="E52">
        <v>0.5</v>
      </c>
      <c r="F52">
        <f t="shared" si="25"/>
        <v>155000000</v>
      </c>
      <c r="G52" s="2">
        <f t="shared" si="7"/>
        <v>155000000</v>
      </c>
    </row>
    <row r="53" spans="1:7" x14ac:dyDescent="0.2">
      <c r="A53">
        <v>5</v>
      </c>
      <c r="B53">
        <v>3100000000</v>
      </c>
      <c r="C53">
        <v>100</v>
      </c>
      <c r="D53">
        <f t="shared" si="24"/>
        <v>155000000</v>
      </c>
      <c r="E53">
        <v>0.5</v>
      </c>
      <c r="F53">
        <f t="shared" si="25"/>
        <v>77500000</v>
      </c>
      <c r="G53" s="2">
        <f t="shared" si="7"/>
        <v>77500000</v>
      </c>
    </row>
    <row r="54" spans="1:7" x14ac:dyDescent="0.2">
      <c r="A54">
        <v>1</v>
      </c>
      <c r="B54">
        <v>3100000000</v>
      </c>
      <c r="C54">
        <v>100</v>
      </c>
      <c r="D54">
        <f t="shared" si="24"/>
        <v>31000000</v>
      </c>
      <c r="E54">
        <v>0.5</v>
      </c>
      <c r="F54">
        <f t="shared" si="25"/>
        <v>15500000</v>
      </c>
      <c r="G54" s="2">
        <f t="shared" si="7"/>
        <v>15500000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Edoardo Giuili</dc:creator>
  <cp:lastModifiedBy>Edoardo Giuili</cp:lastModifiedBy>
  <dcterms:created xsi:type="dcterms:W3CDTF">2025-01-09T07:37:28Z</dcterms:created>
  <dcterms:modified xsi:type="dcterms:W3CDTF">2025-02-12T16:26:09Z</dcterms:modified>
</cp:coreProperties>
</file>